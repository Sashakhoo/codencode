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ntalelectricpteltd-my.sharepoint.com/personal/natasya_khoo_cantalunited_com/Documents/Desktop/codencode/marketing/"/>
    </mc:Choice>
  </mc:AlternateContent>
  <xr:revisionPtr revIDLastSave="0" documentId="11_994C79EB201BC5140622A37FE1C3FDE226EC585D" xr6:coauthVersionLast="47" xr6:coauthVersionMax="47" xr10:uidLastSave="{00000000-0000-0000-0000-000000000000}"/>
  <bookViews>
    <workbookView xWindow="-120" yWindow="-120" windowWidth="29040" windowHeight="15720" activeTab="1" xr2:uid="{00000000-000D-0000-FFFF-FFFF00000000}"/>
  </bookViews>
  <sheets>
    <sheet name="Monthly P&amp;L" sheetId="1" r:id="rId1"/>
    <sheet name="WA Follow-Up Sequence" sheetId="2" r:id="rId2"/>
    <sheet name="Student Onboarding" sheetId="3" r:id="rId3"/>
    <sheet name="Testimonial System" sheetId="4" r:id="rId4"/>
    <sheet name="Alumni Referral Program" sheetId="5" r:id="rId5"/>
    <sheet name="Content Repurposing SOP" sheetId="6" r:id="rId6"/>
    <sheet name="Corporate Pipelin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 l="1"/>
  <c r="L31" i="1"/>
  <c r="K31" i="1"/>
  <c r="J31" i="1"/>
  <c r="I31" i="1"/>
  <c r="H31" i="1"/>
  <c r="G31" i="1"/>
  <c r="F31" i="1"/>
  <c r="E31" i="1"/>
  <c r="D31" i="1"/>
  <c r="C31" i="1"/>
  <c r="B31" i="1"/>
  <c r="N31" i="1" s="1"/>
  <c r="N30" i="1"/>
  <c r="M30" i="1"/>
  <c r="L30" i="1"/>
  <c r="K30" i="1"/>
  <c r="J30" i="1"/>
  <c r="I30" i="1"/>
  <c r="H30" i="1"/>
  <c r="G30" i="1"/>
  <c r="F30" i="1"/>
  <c r="E30" i="1"/>
  <c r="D30" i="1"/>
  <c r="C30" i="1"/>
  <c r="B30" i="1"/>
  <c r="N29" i="1"/>
  <c r="N28" i="1"/>
  <c r="N27" i="1"/>
  <c r="G23" i="1"/>
  <c r="G24" i="1" s="1"/>
  <c r="M22" i="1"/>
  <c r="L22" i="1"/>
  <c r="K22" i="1"/>
  <c r="J22" i="1"/>
  <c r="I22" i="1"/>
  <c r="H22" i="1"/>
  <c r="H23" i="1" s="1"/>
  <c r="H24" i="1" s="1"/>
  <c r="G22" i="1"/>
  <c r="F22" i="1"/>
  <c r="E22" i="1"/>
  <c r="D22" i="1"/>
  <c r="C22" i="1"/>
  <c r="B22" i="1"/>
  <c r="N21" i="1"/>
  <c r="N20" i="1"/>
  <c r="N19" i="1"/>
  <c r="N18" i="1"/>
  <c r="N17" i="1"/>
  <c r="N16" i="1"/>
  <c r="N22" i="1" s="1"/>
  <c r="N15" i="1"/>
  <c r="M13" i="1"/>
  <c r="M23" i="1" s="1"/>
  <c r="M24" i="1" s="1"/>
  <c r="L13" i="1"/>
  <c r="L23" i="1" s="1"/>
  <c r="L24" i="1" s="1"/>
  <c r="K13" i="1"/>
  <c r="K23" i="1" s="1"/>
  <c r="K24" i="1" s="1"/>
  <c r="J13" i="1"/>
  <c r="J23" i="1" s="1"/>
  <c r="J24" i="1" s="1"/>
  <c r="I13" i="1"/>
  <c r="I23" i="1" s="1"/>
  <c r="I24" i="1" s="1"/>
  <c r="H13" i="1"/>
  <c r="G13" i="1"/>
  <c r="F13" i="1"/>
  <c r="F23" i="1" s="1"/>
  <c r="F24" i="1" s="1"/>
  <c r="E13" i="1"/>
  <c r="E23" i="1" s="1"/>
  <c r="E24" i="1" s="1"/>
  <c r="D13" i="1"/>
  <c r="D23" i="1" s="1"/>
  <c r="D24" i="1" s="1"/>
  <c r="C13" i="1"/>
  <c r="C23" i="1" s="1"/>
  <c r="C24" i="1" s="1"/>
  <c r="B13" i="1"/>
  <c r="B23" i="1" s="1"/>
  <c r="B24" i="1" s="1"/>
  <c r="N12" i="1"/>
  <c r="N11" i="1"/>
  <c r="N10" i="1"/>
  <c r="N9" i="1"/>
  <c r="N8" i="1"/>
  <c r="N7" i="1"/>
  <c r="N6" i="1"/>
  <c r="N13" i="1" s="1"/>
  <c r="N23" i="1" l="1"/>
  <c r="N24" i="1" s="1"/>
</calcChain>
</file>

<file path=xl/sharedStrings.xml><?xml version="1.0" encoding="utf-8"?>
<sst xmlns="http://schemas.openxmlformats.org/spreadsheetml/2006/main" count="337" uniqueCount="322">
  <si>
    <t>codencode Academy — Monthly P&amp;L Tracker</t>
  </si>
  <si>
    <t>Update inputs (blue) each month. Formulas calculate automatically. Blue = input  |  Black = formula</t>
  </si>
  <si>
    <t>Category / Month</t>
  </si>
  <si>
    <t>Jan</t>
  </si>
  <si>
    <t>Feb</t>
  </si>
  <si>
    <t>Mar</t>
  </si>
  <si>
    <t>Apr</t>
  </si>
  <si>
    <t>May</t>
  </si>
  <si>
    <t>Jun</t>
  </si>
  <si>
    <t>Jul</t>
  </si>
  <si>
    <t>Aug</t>
  </si>
  <si>
    <t>Sep</t>
  </si>
  <si>
    <t>Oct</t>
  </si>
  <si>
    <t>Nov</t>
  </si>
  <si>
    <t>Dec</t>
  </si>
  <si>
    <t>TOTAL / AVG</t>
  </si>
  <si>
    <t>REVENUE (RM)</t>
  </si>
  <si>
    <t>Python Fundamentals enrolments</t>
  </si>
  <si>
    <t>ML Fundamentals enrolments</t>
  </si>
  <si>
    <t>Vibe Coding enrolments</t>
  </si>
  <si>
    <t>Prompt Engineering enrolments</t>
  </si>
  <si>
    <t>Data Analytics enrolments</t>
  </si>
  <si>
    <t>Corporate / B2B training</t>
  </si>
  <si>
    <t>Other revenue</t>
  </si>
  <si>
    <t>TOTAL REVENUE</t>
  </si>
  <si>
    <t>COSTS (RM)</t>
  </si>
  <si>
    <t>Venue rental (JB)</t>
  </si>
  <si>
    <t>Venue rental (KL)</t>
  </si>
  <si>
    <t>Content manager salary</t>
  </si>
  <si>
    <t>Co-trainer fees</t>
  </si>
  <si>
    <t>Marketing spend (FB/XHS ads)</t>
  </si>
  <si>
    <t>Tools &amp; subscriptions (LMS, Canva, AI)</t>
  </si>
  <si>
    <t>Miscellaneous / admin</t>
  </si>
  <si>
    <t>TOTAL COSTS</t>
  </si>
  <si>
    <t>NET PROFIT (RM)</t>
  </si>
  <si>
    <t>NET MARGIN %</t>
  </si>
  <si>
    <t>KPIs — Students &amp; Acquisition Cost</t>
  </si>
  <si>
    <t>Total students enrolled</t>
  </si>
  <si>
    <t>New enquiries received</t>
  </si>
  <si>
    <t>Enquiries converted</t>
  </si>
  <si>
    <t>Conversion rate %</t>
  </si>
  <si>
    <t>Marketing cost per student (CPA)</t>
  </si>
  <si>
    <t>codencode — WhatsApp Enquiry Follow-Up Sequence</t>
  </si>
  <si>
    <t>Purpose: Convert warm enquiries into enrolments with 5 structured touchpoints over 14 days.</t>
  </si>
  <si>
    <t>Touchpoint</t>
  </si>
  <si>
    <t>Timing</t>
  </si>
  <si>
    <t>Message (copy-paste ready)</t>
  </si>
  <si>
    <t>Goal</t>
  </si>
  <si>
    <t>1 — First reply</t>
  </si>
  <si>
    <t>Within 1 hour</t>
  </si>
  <si>
    <t>Hi [Name]! Thanks for reaching out to codencode 🎉
We offer Python &amp; AI courses in Malay, English &amp; Chinese — taught in small groups of max 12 students for real personal attention.
Which course caught your eye?
✅ Python Fundamentals (6 weeks, RM 1,350 early bird)
✅ ML Fundamentals (10 weeks, RM 1,800 early bird)
Feel free to ask me anything — I'm happy to help you find the right fit!</t>
  </si>
  <si>
    <t>Build rapport, qualify interest</t>
  </si>
  <si>
    <t>2 — Value nudge</t>
  </si>
  <si>
    <t>Day 3 (if no reply)</t>
  </si>
  <si>
    <t>Hi [Name]! Just wanted to share — our last Python batch had students from all backgrounds (fresh grads, career switchers, even working engineers).
Here's what one of them said:
💬 'I landed my first data job 2 months after completing the course.' — Amirah, Batch 3
Our next intake starts [Date]. Places are limited to 12 per batch.
Want me to reserve a spot for you? 😊</t>
  </si>
  <si>
    <t>Social proof, create urgency</t>
  </si>
  <si>
    <t>3 — FAQ / objection</t>
  </si>
  <si>
    <t>Day 7 (if no enrolment)</t>
  </si>
  <si>
    <t>Hi [Name]! I know choosing a course is a big decision. Let me answer some common questions:
❓ No coding experience? Perfect — Python Fundamentals starts from zero.
❓ Busy schedule? We have weekday &amp; weekend slots, plus online.
❓ Not sure it's worth it? You get a Certificate of Completion + real project portfolio.
Would it help to have a free 15-min chat to see if we're the right fit for your goals?</t>
  </si>
  <si>
    <t>Handle objections, offer consultation</t>
  </si>
  <si>
    <t>4 — Early bird reminder</t>
  </si>
  <si>
    <t>Day 10 (if no enrolment)</t>
  </si>
  <si>
    <t>Hi [Name]! Quick heads up — our 10% early bird discount ends on 30 April 2026.
After that, Python Fundamentals goes back to RM 1,500.
If you're thinking about it, now is the best time to lock in your spot! Instalments are available too (RM 600/month).
Just reply YES and I'll send you the registration link 🙌</t>
  </si>
  <si>
    <t>Create urgency, price anchor</t>
  </si>
  <si>
    <t>5 — Final close</t>
  </si>
  <si>
    <t>Day 14 (last touchpoint)</t>
  </si>
  <si>
    <t>Hi [Name]! This is my last nudge, I promise 😄
If coding or AI isn't the right fit right now, totally understand — no pressure.
But if you're still curious, our next batch starts [Date] and there are [X] spots left.
Either way, feel free to reach out anytime. We'd love to have you when the time is right! 🌟
codencode.my | +60 11-3165 2854</t>
  </si>
  <si>
    <t>Final close, keep door open</t>
  </si>
  <si>
    <t>codencode — Student Onboarding Welcome Pack</t>
  </si>
  <si>
    <t>Send within 24 hours of payment confirmation. Each section = one WhatsApp message or LMS post.</t>
  </si>
  <si>
    <t>STEP 1 — Payment confirmed</t>
  </si>
  <si>
    <t>WhatsApp message to send:</t>
  </si>
  <si>
    <t>🎉 Welcome to codencode, [Name]!
Your spot in [Course Name] — [Batch Date] is confirmed!
Here's what happens next:
📋 You'll receive your class schedule in 24 hours
🔗 LMS access: learn.codencode.my (login details below)
💬 Join your batch WhatsApp group: [link]
Username: [email]
Temp password: [password]
See you in class! — Sasha &amp; the codencode team 🚀</t>
  </si>
  <si>
    <t>Send immediately after payment</t>
  </si>
  <si>
    <t>STEP 2 — Class schedule</t>
  </si>
  <si>
    <t>WhatsApp message (Day 1):</t>
  </si>
  <si>
    <t>Hi [Name]! Here's your [Course Name] schedule:
📅 Start date: [Date]
🕐 Time: [Time]
📍 Location: [JB / KL / Online - Zoom link]
Class dates:
[Week 1: Date]
[Week 2: Date]
...
Please save these dates! Reply OK if received ✅</t>
  </si>
  <si>
    <t>Send within 24h of welcome msg</t>
  </si>
  <si>
    <t>What to prepare (same message):</t>
  </si>
  <si>
    <t>Before your first class, please:
✅ Install Python 3.x: python.org/downloads
✅ Install VS Code: code.visualstudio.com
✅ Join our WhatsApp group (link above)
✅ Log in to LMS and explore Week 1 materials
No prior experience needed — just bring your laptop and curiosity! 💪</t>
  </si>
  <si>
    <t>Reduces first-day anxiety</t>
  </si>
  <si>
    <t>STEP 3 — WhatsApp group setup</t>
  </si>
  <si>
    <t>Create group named:</t>
  </si>
  <si>
    <t>[Course] Batch [Month Year] — codencode</t>
  </si>
  <si>
    <t>e.g. Python May 2026 — codencode</t>
  </si>
  <si>
    <t>Pin these messages:</t>
  </si>
  <si>
    <t>1. Class schedule
2. LMS login link
3. Trainer contact
4. Emergency: Sasha +60 11-3165 2854</t>
  </si>
  <si>
    <t>Keep pinned throughout course</t>
  </si>
  <si>
    <t>Welcome message in group:</t>
  </si>
  <si>
    <t>Welcome everyone to [Course] Batch [Date]! 🎉
I'm [Name], your trainer. A few group rules:
✅ Feel free to ask any questions here
✅ Share your wins — big or small!
✅ Be supportive of each other
✅ Class reminders will be posted here
Let's go! 🚀</t>
  </si>
  <si>
    <t>Sets culture from day 1</t>
  </si>
  <si>
    <t>STEP 4 — Week 1 check-in</t>
  </si>
  <si>
    <t>WhatsApp after first class:</t>
  </si>
  <si>
    <t>Hi [Name]! How was your first class? 😊
Remember:
📚 This week's homework is on the LMS (Week 1 folder)
🕐 Due before next class
❓ Any questions? Reply here or message me anytime
You've got this! 💪</t>
  </si>
  <si>
    <t>Reduces early dropout risk</t>
  </si>
  <si>
    <t>LMS post (Week 1):</t>
  </si>
  <si>
    <t>Week 1 Resources:
• Slides: [link]
• Exercise files: [link]
• Bonus reading: [link]
Homework: Complete Exercise 1.1 to 1.3 and upload to the submission folder before [date].</t>
  </si>
  <si>
    <t>Structured learning path</t>
  </si>
  <si>
    <t>STEP 5 — Mid-course check-in</t>
  </si>
  <si>
    <t>Send at Week 3 (Python) / Week 5 (ML):</t>
  </si>
  <si>
    <t>Hi [Name]! You're halfway through [Course] — amazing progress! 🎯
Quick check-in:
👍 How are you finding the content?
🤔 Anything you'd like me to explain differently?
💡 What's one thing you've learned that surprised you?
Your feedback helps me make the class better for everyone. Reply anytime!</t>
  </si>
  <si>
    <t>Catches issues early, builds loyalty</t>
  </si>
  <si>
    <t>codencode — Testimonial &amp; Review Collection System</t>
  </si>
  <si>
    <t>Send the post-course feedback message within 48h of course completion. Track collected testimonials in the log below.</t>
  </si>
  <si>
    <t>POST-COURSE MESSAGE (send 48h after final class)</t>
  </si>
  <si>
    <t>WhatsApp to each graduate:</t>
  </si>
  <si>
    <t>Hi [Name]! Congratulations on completing [Course Name]! 🎓
You've worked really hard and I'm so proud of what you've built.
One small favour — could you take 2 minutes to fill in our feedback form? Your honest thoughts help us improve for future students:
👉 [Google Form link]
If you'd like to share your experience publicly, we'd also love a Google review:
👉 https://share.google/QAS01bJRYLKDbxcJ7
Thank you so much — it means the world to us! 🌟
— Sasha</t>
  </si>
  <si>
    <t>Send to every graduate</t>
  </si>
  <si>
    <t>GOOGLE FORM — Questions to ask</t>
  </si>
  <si>
    <t>Q1</t>
  </si>
  <si>
    <t>What was your main goal when you joined codencode?</t>
  </si>
  <si>
    <t>Open ended</t>
  </si>
  <si>
    <t>Q2</t>
  </si>
  <si>
    <t>What did you enjoy most about the course?</t>
  </si>
  <si>
    <t>Q3</t>
  </si>
  <si>
    <t>What has changed for you since completing the course?</t>
  </si>
  <si>
    <t>Open ended — best for testimonials</t>
  </si>
  <si>
    <t>Q4</t>
  </si>
  <si>
    <t>Would you recommend codencode to a friend? (1–10)</t>
  </si>
  <si>
    <t>NPS score</t>
  </si>
  <si>
    <t>Q5</t>
  </si>
  <si>
    <t>How would you rate the trainer? (1–5 stars)</t>
  </si>
  <si>
    <t>Quality signal</t>
  </si>
  <si>
    <t>Q6</t>
  </si>
  <si>
    <t>How would you rate the curriculum? (1–5 stars)</t>
  </si>
  <si>
    <t>Q7</t>
  </si>
  <si>
    <t>May we share your feedback as a testimonial on our website and social media?</t>
  </si>
  <si>
    <t>Yes / Yes with edits / No</t>
  </si>
  <si>
    <t>Q8</t>
  </si>
  <si>
    <t>If yes, what name should we use?</t>
  </si>
  <si>
    <t>e.g. Ahmad R., Data Analyst</t>
  </si>
  <si>
    <t>REPURPOSING CHECKLIST (for each 5-star response)</t>
  </si>
  <si>
    <t>Step 1</t>
  </si>
  <si>
    <t>Screenshot the Google review</t>
  </si>
  <si>
    <t>Save to /Testimonials/[Year]/[Month]</t>
  </si>
  <si>
    <t>Step 2</t>
  </si>
  <si>
    <t>Format as XHS graphic (navy card, white text, cyan accent)</t>
  </si>
  <si>
    <t>Give to content manager</t>
  </si>
  <si>
    <t>Step 3</t>
  </si>
  <si>
    <t>Post to Facebook with graduate's permission</t>
  </si>
  <si>
    <t>Tag them if they agree</t>
  </si>
  <si>
    <t>Step 4</t>
  </si>
  <si>
    <t>Add to website Testimonials section</t>
  </si>
  <si>
    <t>Update codencode.my</t>
  </si>
  <si>
    <t>Step 5</t>
  </si>
  <si>
    <t>Add quote to brochure/poster next version</t>
  </si>
  <si>
    <t>Use in marketing materials</t>
  </si>
  <si>
    <t>Step 6</t>
  </si>
  <si>
    <t>Add to WhatsApp follow-up sequence (message 2)</t>
  </si>
  <si>
    <t>Update social proof message</t>
  </si>
  <si>
    <t>TESTIMONIAL LOG</t>
  </si>
  <si>
    <t>Graduate name</t>
  </si>
  <si>
    <t>Course</t>
  </si>
  <si>
    <t>Batch</t>
  </si>
  <si>
    <t>Rating</t>
  </si>
  <si>
    <t>Testimonial text</t>
  </si>
  <si>
    <t>Platform posted</t>
  </si>
  <si>
    <t>Date collected</t>
  </si>
  <si>
    <t>codencode — Alumni Network &amp; Referral Program</t>
  </si>
  <si>
    <t>Activate alumni as referrers. Every graduate is a potential ambassador.</t>
  </si>
  <si>
    <t>ALUMNI WHATSAPP GROUP SETUP</t>
  </si>
  <si>
    <t>Group name</t>
  </si>
  <si>
    <t>codencode Alumni — Python &amp; AI</t>
  </si>
  <si>
    <t>One group for all graduates</t>
  </si>
  <si>
    <t>Pinned message</t>
  </si>
  <si>
    <t>Welcome to the codencode Alumni Network! 🎓
This group is for:
✅ Job opportunities shared by Sasha
✅ Advanced workshop invites (alumni-only pricing)
✅ Celebrating each other's wins
✅ Peer networking &amp; help
Rules: Be kind, no spam, support each other 🙌</t>
  </si>
  <si>
    <t>Pin permanently</t>
  </si>
  <si>
    <t>Monthly touchpoint</t>
  </si>
  <si>
    <t>Hi alumni! This month's update:
🆕 New batch starting: [Date]
📢 Know someone who wants to learn Python/AI? Share your referral code: [CODE]
🏆 This month's alumni win: [Celebrate a graduate's achievement]
💡 Tip of the month: [Quick Python/AI tip]</t>
  </si>
  <si>
    <t>Send first Monday of each month</t>
  </si>
  <si>
    <t>REFERRAL PROGRAM STRUCTURE</t>
  </si>
  <si>
    <t>Referrer reward</t>
  </si>
  <si>
    <t>RM 150 credit toward any codencode course
(redeemable on next enrolment)</t>
  </si>
  <si>
    <t>Alumni gets this when referral pays</t>
  </si>
  <si>
    <t>Referee discount</t>
  </si>
  <si>
    <t>RM 100 off first course
(stackable with early bird discount)</t>
  </si>
  <si>
    <t>New student gets this at checkout</t>
  </si>
  <si>
    <t>How it works</t>
  </si>
  <si>
    <t>Step 1: Alumni shares their unique code (e.g. ALUMNI-AHMAD)
Step 2: New student mentions code during registration
Step 3: Both get their rewards after payment confirmed
Step 4: Sasha tracks in the log below</t>
  </si>
  <si>
    <t>Simple, no app needed</t>
  </si>
  <si>
    <t>Referral message to share</t>
  </si>
  <si>
    <t>Hey! I just completed Python Fundamentals at codencode and honestly it was worth every ringgit 🐍
They teach in Malay/English/Chinese, max 12 students per class, and you actually build real projects.
If you're thinking of learning to code, use my code [CODE] for RM 100 off:
📲 wa.me/601131652854
🌐 codencode.my</t>
  </si>
  <si>
    <t>Alumni copies and shares this</t>
  </si>
  <si>
    <t>ALUMNI-ONLY PERKS</t>
  </si>
  <si>
    <t>Advanced workshops</t>
  </si>
  <si>
    <t>Quarterly 1-day workshops (alumni price: 50% off)
Topics: Web scraping, API building, AI projects</t>
  </si>
  <si>
    <t>Recurring revenue + keep alumni engaged</t>
  </si>
  <si>
    <t>Job board access</t>
  </si>
  <si>
    <t>Post entry-level Python/data jobs in alumni group
Partner with hiring companies in JB/KL</t>
  </si>
  <si>
    <t>Adds huge value, zero cost to you</t>
  </si>
  <si>
    <t>Mentorship opportunity</t>
  </si>
  <si>
    <t>Top alumni can become codencode mentors
RM 200/session, shared with codencode</t>
  </si>
  <si>
    <t>Alumni earn, you earn, students win</t>
  </si>
  <si>
    <t>REFERRAL TRACKING LOG</t>
  </si>
  <si>
    <t>Alumni name</t>
  </si>
  <si>
    <t>Referral code</t>
  </si>
  <si>
    <t>Referee name</t>
  </si>
  <si>
    <t>Course enrolled</t>
  </si>
  <si>
    <t>Date</t>
  </si>
  <si>
    <t>Alumni credit given</t>
  </si>
  <si>
    <t>Referee discount given</t>
  </si>
  <si>
    <t>codencode — Content Repurposing SOP (1 Story → 5 Platforms)</t>
  </si>
  <si>
    <t>One student win, tip, or update = content for ALL platforms. Takes 30 min total with this SOP.</t>
  </si>
  <si>
    <t>TRIGGER — When to create content</t>
  </si>
  <si>
    <t>Student milestone</t>
  </si>
  <si>
    <t>Graduate gets a job, completes project, shares win</t>
  </si>
  <si>
    <t>Immediately</t>
  </si>
  <si>
    <t>Course update</t>
  </si>
  <si>
    <t>New intake, early bird launch, curriculum update</t>
  </si>
  <si>
    <t>Same day</t>
  </si>
  <si>
    <t>Industry news</t>
  </si>
  <si>
    <t>New AI tool, Python update, tech hiring trend</t>
  </si>
  <si>
    <t>Within 24h</t>
  </si>
  <si>
    <t>Behind the scenes</t>
  </si>
  <si>
    <t>Classroom photo, prep session, trainer moment</t>
  </si>
  <si>
    <t>PLATFORM 1 — XHS (小红书)</t>
  </si>
  <si>
    <t>Format</t>
  </si>
  <si>
    <t>Image + 300-500 word caption in Chinese or BM
Use 5-8 hashtags: #编程 #Python #人工智能 #JB #学编程</t>
  </si>
  <si>
    <t>Owner: Content manager</t>
  </si>
  <si>
    <t>Template</t>
  </si>
  <si>
    <t>📖 [Hook in Chinese/BM]
[3-5 bullet points about the story/tip]
💡 [Key takeaway]
🎓 Learn more at codencode.my
📲 WhatsApp: +60 11-3165 2854
#Python #AI #编程 #JB #codencode</t>
  </si>
  <si>
    <t>Copy and adapt</t>
  </si>
  <si>
    <t>Visuals</t>
  </si>
  <si>
    <t>Navy card with student quote OR classroom photo
Use Canva template: codencode XHS Card v2</t>
  </si>
  <si>
    <t>PLATFORM 2 — Facebook</t>
  </si>
  <si>
    <t>Image/video + 100-200 word caption in English or BM
Post to codencode academy page</t>
  </si>
  <si>
    <t>🎉 [Student name] just [achievement]!
[2-3 sentences about their journey]
This is why we do what we do at codencode 🐍
🗓 Next intake: [Date]
💬 WhatsApp us: wa.me/601131652854
🌐 codencode.my</t>
  </si>
  <si>
    <t>Best times</t>
  </si>
  <si>
    <t>Tue–Thu, 7–9pm MYT for highest reach</t>
  </si>
  <si>
    <t>Schedule in advance</t>
  </si>
  <si>
    <t>PLATFORM 3 — WhatsApp Broadcast</t>
  </si>
  <si>
    <t>Short text only, 3-5 lines max. No images (deliverability drops).</t>
  </si>
  <si>
    <t>Owner: Sasha</t>
  </si>
  <si>
    <t>Hi! 👋 Quick update from codencode:
[1-2 sentence win/update]
Next batch starts [Date] — [X] spots left.
Reply INTERESTED and I'll send details! 😊</t>
  </si>
  <si>
    <t>Send to broadcast list</t>
  </si>
  <si>
    <t>Frequency</t>
  </si>
  <si>
    <t>Max 2x per month — do not spam</t>
  </si>
  <si>
    <t>Protect unsubscribe rate</t>
  </si>
  <si>
    <t>PLATFORM 4 — Google Business Post</t>
  </si>
  <si>
    <t>100 words max + 1 photo. Post weekly for SEO benefit.</t>
  </si>
  <si>
    <t>Owner: Sasha (5 min)</t>
  </si>
  <si>
    <t>[Month] Update — codencode Academy
[1-2 sentences on what's new]
Joining us: [Course] intake starts [Date].
📍 JB | KL | Online
📲 +60 11-3165 2854
🌐 codencode.my</t>
  </si>
  <si>
    <t>Post every Monday</t>
  </si>
  <si>
    <t>PLATFORM 5 — Website / LMS</t>
  </si>
  <si>
    <t>Add to Testimonials page OR News section on codencode.my</t>
  </si>
  <si>
    <t>Owner: Sasha (monthly)</t>
  </si>
  <si>
    <t>'[Testimonial quote]' — [Name], [Course], [Year]
[Optional: 1 paragraph about their journey]</t>
  </si>
  <si>
    <t>Only 5-star consented reviews</t>
  </si>
  <si>
    <t>Update website testimonials monthly, news section quarterly</t>
  </si>
  <si>
    <t>Batch updates to save time</t>
  </si>
  <si>
    <t>30-MIN WORKFLOW — Step by step</t>
  </si>
  <si>
    <t>0–5 min</t>
  </si>
  <si>
    <t>Identify the story: screenshot, message, or note from student</t>
  </si>
  <si>
    <t>Trigger point</t>
  </si>
  <si>
    <t>5–15 min</t>
  </si>
  <si>
    <t>Write the XHS caption (longest). All other platforms adapt from this.</t>
  </si>
  <si>
    <t>Content manager does this</t>
  </si>
  <si>
    <t>15–20 min</t>
  </si>
  <si>
    <t>Adapt to Facebook (shorter, English/BM)</t>
  </si>
  <si>
    <t>Content manager</t>
  </si>
  <si>
    <t>20–23 min</t>
  </si>
  <si>
    <t>Write WhatsApp broadcast (3 lines from XHS caption)</t>
  </si>
  <si>
    <t>Sasha edits and approves</t>
  </si>
  <si>
    <t>23–26 min</t>
  </si>
  <si>
    <t>Write Google Business post (100 words)</t>
  </si>
  <si>
    <t>Sasha posts directly</t>
  </si>
  <si>
    <t>26–30 min</t>
  </si>
  <si>
    <t>Add to website testimonials if applicable</t>
  </si>
  <si>
    <t>Sasha (batched monthly)</t>
  </si>
  <si>
    <t>codencode — Corporate Training Pipeline &amp; HRD Corp Guide</t>
  </si>
  <si>
    <t>One corporate deal = 10x a single student enrolment. This sheet guides your B2B strategy.</t>
  </si>
  <si>
    <t>HRD CORP CLAIMABLE — Why it matters</t>
  </si>
  <si>
    <t>What it is</t>
  </si>
  <si>
    <t>HRD Corp (formerly HRDF) allows Malaysian companies to claim training fees from their levy fund. If codencode is registered as a Training Provider, corporate clients pay ZERO out of pocket.</t>
  </si>
  <si>
    <t>Priority 1 — unlock this first</t>
  </si>
  <si>
    <t>Revenue impact</t>
  </si>
  <si>
    <t>A company sends 10 staff for Python Fundamentals:
• Without HRD Corp: RM 13,500 — hard sell
• With HRD Corp: RM 0 to client — easy sell
Your revenue is the same either way.</t>
  </si>
  <si>
    <t>Massive deal closer</t>
  </si>
  <si>
    <t>How to register</t>
  </si>
  <si>
    <t>1. Register at hrdcorp.gov.my as Training Provider
2. Submit course outlines for SBL-Khas approval
3. Once approved, market as 'HRD Corp Claimable'
4. Client submits grant application before training starts</t>
  </si>
  <si>
    <t>Allow 2-3 months for approval</t>
  </si>
  <si>
    <t>Course to register first</t>
  </si>
  <si>
    <t>Python Fundamentals — most universal appeal across all industries</t>
  </si>
  <si>
    <t>Start with one course</t>
  </si>
  <si>
    <t>TARGET INDUSTRIES IN JB + KL</t>
  </si>
  <si>
    <t>Manufacturing</t>
  </si>
  <si>
    <t>Cantal Electric-type companies, Johor factories needing data/automation skills
Pitch: 'Automate your reporting with Python — zero manual Excel'</t>
  </si>
  <si>
    <t>Johor-specific advantage</t>
  </si>
  <si>
    <t>Logistics &amp; supply chain</t>
  </si>
  <si>
    <t>Port of Tanjung Pelepas, freight companies, warehousing
Pitch: 'Python for inventory tracking and demand forecasting'</t>
  </si>
  <si>
    <t>High data volume = clear ROI</t>
  </si>
  <si>
    <t>Banking &amp; finance</t>
  </si>
  <si>
    <t>Local banks, insurance, fintech
Pitch: 'ML for fraud detection, customer segmentation, risk scoring'</t>
  </si>
  <si>
    <t>KL focus</t>
  </si>
  <si>
    <t>Government-linked companies (GLCs)</t>
  </si>
  <si>
    <t>Petronas, TNB, Khazanah portfolio companies
Pitch: 'Upskill your engineers with AI &amp; data skills'</t>
  </si>
  <si>
    <t>Large budgets, HRD Corp eligible</t>
  </si>
  <si>
    <t>CORPORATE PITCH STRUCTURE</t>
  </si>
  <si>
    <t>Email subject line</t>
  </si>
  <si>
    <t>[Company Name] — Python &amp; AI Upskilling for Your Team | HRD Corp Claimable</t>
  </si>
  <si>
    <t>Copy and personalise</t>
  </si>
  <si>
    <t>Email body (short version)</t>
  </si>
  <si>
    <t>Hi [Name],
I'm Sasha from codencode Academy. We help companies upskill their teams in Python and AI — fully claimable under HRD Corp, so there's no cost to your company.
We've trained professionals from [industry] and our courses include:
✅ Python for data &amp; automation (6 weeks)
✅ Machine Learning fundamentals (10 weeks)
✅ Custom in-house workshops (1-3 days)
Would you be open to a 15-min call this week to explore if this fits your team's needs?
Best,
Sasha | codencode Academy | +60 11-3165 2854</t>
  </si>
  <si>
    <t>Send to HR/L&amp;D managers</t>
  </si>
  <si>
    <t>Pricing for corporates</t>
  </si>
  <si>
    <t>Group rate (min 5 pax): RM 1,200/person
Group rate (min 10 pax): RM 1,000/person
Custom in-house workshop (full day): RM 8,000 flat
All rates: HRD Corp claimable</t>
  </si>
  <si>
    <t>Anchor on per-pax value</t>
  </si>
  <si>
    <t>Objection: We have an LMS</t>
  </si>
  <si>
    <t>'We integrate with your existing systems — our trainer comes to you, your team learns in their environment'</t>
  </si>
  <si>
    <t>Common objection</t>
  </si>
  <si>
    <t>Objection: We need custom content</t>
  </si>
  <si>
    <t>'We can customise 30% of the curriculum for your industry use case at no extra charge for groups of 10+'</t>
  </si>
  <si>
    <t>Win over procurement</t>
  </si>
  <si>
    <t>CORPORATE PIPELINE CRM LOG</t>
  </si>
  <si>
    <t>Company</t>
  </si>
  <si>
    <t>Contact name</t>
  </si>
  <si>
    <t>Industry</t>
  </si>
  <si>
    <t>Status</t>
  </si>
  <si>
    <t>Last contact</t>
  </si>
  <si>
    <t>Next action</t>
  </si>
  <si>
    <t>Deal size (RM)</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</si>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</sst>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scheme val="minor"/>
    </font>
    <font>
      <b/>
      <sz val="14"/>
      <color rgb="FF00C2D4"/>
      <name val="Arial"/>
    </font>
    <font>
      <i/>
      <sz val="9"/>
      <color rgb="FF6B7280"/>
      <name val="Arial"/>
    </font>
    <font>
      <b/>
      <sz val="10"/>
      <color rgb="FFFFFFFF"/>
      <name val="Arial"/>
    </font>
    <font>
      <b/>
      <sz val="10"/>
      <color rgb="FFC9A84C"/>
      <name val="Arial"/>
    </font>
    <font>
      <b/>
      <sz val="10"/>
      <color rgb="FF0A1628"/>
      <name val="Arial"/>
    </font>
    <font>
      <sz val="10"/>
      <color rgb="FF1A1A2E"/>
      <name val="Arial"/>
    </font>
    <font>
      <sz val="10"/>
      <color rgb="FF0000FF"/>
      <name val="Arial"/>
    </font>
    <font>
      <b/>
      <sz val="10"/>
      <color rgb="FF1A1A2E"/>
      <name val="Arial"/>
    </font>
    <font>
      <b/>
      <sz val="11"/>
      <color rgb="FF0A1628"/>
      <name val="Arial"/>
    </font>
    <font>
      <b/>
      <sz val="10"/>
      <color rgb="FF7C2D12"/>
      <name val="Arial"/>
    </font>
    <font>
      <b/>
      <sz val="11"/>
      <color rgb="FF7C2D12"/>
      <name val="Arial"/>
    </font>
    <font>
      <b/>
      <sz val="11"/>
      <color rgb="FFFFFFFF"/>
      <name val="Arial"/>
    </font>
    <font>
      <b/>
      <sz val="10"/>
      <color rgb="FF14532D"/>
      <name val="Arial"/>
    </font>
    <font>
      <b/>
      <sz val="12"/>
      <color rgb="FF14532D"/>
      <name val="Arial"/>
    </font>
    <font>
      <b/>
      <sz val="11"/>
      <color rgb="FF14532D"/>
      <name val="Arial"/>
    </font>
    <font>
      <b/>
      <sz val="9"/>
      <color rgb="FF0A1628"/>
      <name val="Arial"/>
    </font>
    <font>
      <sz val="9"/>
      <color rgb="FF1A1A2E"/>
      <name val="Arial"/>
    </font>
    <font>
      <i/>
      <sz val="9"/>
      <color rgb="FF16A34A"/>
      <name val="Arial"/>
    </font>
    <font>
      <sz val="9"/>
      <color rgb="FF6B7280"/>
      <name val="Arial"/>
    </font>
    <font>
      <i/>
      <sz val="8"/>
      <color rgb="FF6B7280"/>
      <name val="Arial"/>
    </font>
    <font>
      <b/>
      <sz val="9"/>
      <color rgb="FFFFFFFF"/>
      <name val="Arial"/>
    </font>
  </fonts>
  <fills count="22">
    <fill>
      <patternFill patternType="none"/>
    </fill>
    <fill>
      <patternFill patternType="gray125"/>
    </fill>
    <fill>
      <patternFill patternType="solid">
        <fgColor rgb="FF0A1628"/>
      </patternFill>
    </fill>
    <fill>
      <patternFill patternType="solid">
        <fgColor rgb="FFF4F6F8"/>
      </patternFill>
    </fill>
    <fill>
      <patternFill patternType="solid">
        <fgColor rgb="FF1E3A5F"/>
      </patternFill>
    </fill>
    <fill>
      <patternFill patternType="solid">
        <fgColor rgb="FF00C2D4"/>
      </patternFill>
    </fill>
    <fill>
      <patternFill patternType="solid">
        <fgColor rgb="FFFFFFFF"/>
      </patternFill>
    </fill>
    <fill>
      <patternFill patternType="solid">
        <fgColor rgb="FFEFF6FF"/>
      </patternFill>
    </fill>
    <fill>
      <patternFill patternType="solid">
        <fgColor rgb="FFE0F9FC"/>
      </patternFill>
    </fill>
    <fill>
      <patternFill patternType="solid">
        <fgColor rgb="FFB5D4F4"/>
      </patternFill>
    </fill>
    <fill>
      <patternFill patternType="solid">
        <fgColor rgb="FFD85A30"/>
      </patternFill>
    </fill>
    <fill>
      <patternFill patternType="solid">
        <fgColor rgb="FFFFF7ED"/>
      </patternFill>
    </fill>
    <fill>
      <patternFill patternType="solid">
        <fgColor rgb="FFFEE2E2"/>
      </patternFill>
    </fill>
    <fill>
      <patternFill patternType="solid">
        <fgColor rgb="FFFECACA"/>
      </patternFill>
    </fill>
    <fill>
      <patternFill patternType="solid">
        <fgColor rgb="FF16A34A"/>
      </patternFill>
    </fill>
    <fill>
      <patternFill patternType="solid">
        <fgColor rgb="FFDCFCE7"/>
      </patternFill>
    </fill>
    <fill>
      <patternFill patternType="solid">
        <fgColor rgb="FF86EFAC"/>
      </patternFill>
    </fill>
    <fill>
      <patternFill patternType="solid">
        <fgColor rgb="FF22C55E"/>
      </patternFill>
    </fill>
    <fill>
      <patternFill patternType="solid">
        <fgColor rgb="FFC9A84C"/>
      </patternFill>
    </fill>
    <fill>
      <patternFill patternType="solid">
        <fgColor rgb="FFFF2442"/>
      </patternFill>
    </fill>
    <fill>
      <patternFill patternType="solid">
        <fgColor rgb="FF1877F2"/>
      </patternFill>
    </fill>
    <fill>
      <patternFill patternType="solid">
        <fgColor rgb="FF4285F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57">
    <xf numFmtId="0" fontId="0" fillId="0" borderId="0" xfId="0"/>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left" vertical="center" indent="1"/>
    </xf>
    <xf numFmtId="0" fontId="0" fillId="0" borderId="1" xfId="0" applyBorder="1"/>
    <xf numFmtId="0" fontId="6" fillId="6" borderId="1" xfId="0" applyFont="1" applyFill="1" applyBorder="1" applyAlignment="1">
      <alignment horizontal="left" vertical="center" wrapText="1"/>
    </xf>
    <xf numFmtId="164" fontId="7" fillId="6"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0" fontId="6" fillId="3" borderId="1" xfId="0" applyFont="1" applyFill="1" applyBorder="1" applyAlignment="1">
      <alignment horizontal="left" vertical="center" wrapText="1"/>
    </xf>
    <xf numFmtId="164" fontId="7" fillId="3" borderId="1" xfId="0" applyNumberFormat="1" applyFont="1" applyFill="1" applyBorder="1" applyAlignment="1">
      <alignment horizontal="center" vertical="center"/>
    </xf>
    <xf numFmtId="164" fontId="5" fillId="8" borderId="1" xfId="0" applyNumberFormat="1" applyFont="1" applyFill="1" applyBorder="1" applyAlignment="1">
      <alignment horizontal="center" vertical="center"/>
    </xf>
    <xf numFmtId="164" fontId="9" fillId="9" borderId="1" xfId="0" applyNumberFormat="1" applyFont="1" applyFill="1" applyBorder="1" applyAlignment="1">
      <alignment horizontal="center" vertical="center"/>
    </xf>
    <xf numFmtId="0" fontId="3" fillId="10" borderId="1" xfId="0" applyFont="1" applyFill="1" applyBorder="1" applyAlignment="1">
      <alignment horizontal="left" vertical="center" indent="1"/>
    </xf>
    <xf numFmtId="164" fontId="8" fillId="11" borderId="1" xfId="0" applyNumberFormat="1" applyFont="1" applyFill="1" applyBorder="1" applyAlignment="1">
      <alignment horizontal="center" vertical="center"/>
    </xf>
    <xf numFmtId="164" fontId="10" fillId="12" borderId="1" xfId="0" applyNumberFormat="1" applyFont="1" applyFill="1" applyBorder="1" applyAlignment="1">
      <alignment horizontal="center" vertical="center"/>
    </xf>
    <xf numFmtId="164" fontId="11" fillId="13" borderId="1" xfId="0" applyNumberFormat="1" applyFont="1" applyFill="1" applyBorder="1" applyAlignment="1">
      <alignment horizontal="center" vertical="center"/>
    </xf>
    <xf numFmtId="0" fontId="12" fillId="14" borderId="1" xfId="0" applyFont="1" applyFill="1" applyBorder="1" applyAlignment="1">
      <alignment horizontal="left" vertical="center" indent="1"/>
    </xf>
    <xf numFmtId="164" fontId="13" fillId="15" borderId="1" xfId="0" applyNumberFormat="1" applyFont="1" applyFill="1" applyBorder="1" applyAlignment="1">
      <alignment horizontal="center" vertical="center"/>
    </xf>
    <xf numFmtId="164" fontId="14" fillId="16" borderId="1" xfId="0" applyNumberFormat="1" applyFont="1" applyFill="1" applyBorder="1" applyAlignment="1">
      <alignment horizontal="center" vertical="center"/>
    </xf>
    <xf numFmtId="0" fontId="3" fillId="14" borderId="1" xfId="0" applyFont="1" applyFill="1" applyBorder="1" applyAlignment="1">
      <alignment horizontal="left" vertical="center" indent="1"/>
    </xf>
    <xf numFmtId="165" fontId="13" fillId="15" borderId="1" xfId="0" applyNumberFormat="1" applyFont="1" applyFill="1" applyBorder="1" applyAlignment="1">
      <alignment horizontal="center" vertical="center"/>
    </xf>
    <xf numFmtId="165" fontId="15" fillId="16" borderId="1" xfId="0" applyNumberFormat="1" applyFont="1" applyFill="1" applyBorder="1" applyAlignment="1">
      <alignment horizontal="center" vertical="center"/>
    </xf>
    <xf numFmtId="165" fontId="6" fillId="3" borderId="1" xfId="0" applyNumberFormat="1" applyFont="1" applyFill="1" applyBorder="1" applyAlignment="1">
      <alignment horizontal="center" vertical="center"/>
    </xf>
    <xf numFmtId="165" fontId="8" fillId="7" borderId="1"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0" fontId="16"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20" fillId="3" borderId="1" xfId="0" applyFont="1" applyFill="1" applyBorder="1" applyAlignment="1">
      <alignment horizontal="left" vertical="center" wrapText="1"/>
    </xf>
    <xf numFmtId="0" fontId="21" fillId="4" borderId="1" xfId="0" applyFont="1" applyFill="1" applyBorder="1" applyAlignment="1">
      <alignment horizontal="center" vertical="center" wrapText="1"/>
    </xf>
    <xf numFmtId="0" fontId="0" fillId="3" borderId="1" xfId="0" applyFill="1" applyBorder="1" applyAlignment="1">
      <alignment horizontal="left" vertical="center"/>
    </xf>
    <xf numFmtId="0" fontId="0" fillId="6" borderId="1" xfId="0" applyFill="1" applyBorder="1" applyAlignment="1">
      <alignment horizontal="left" vertical="center"/>
    </xf>
    <xf numFmtId="0" fontId="3" fillId="4" borderId="1" xfId="0" applyFont="1" applyFill="1" applyBorder="1" applyAlignment="1">
      <alignment horizontal="left" vertical="center" indent="1"/>
    </xf>
    <xf numFmtId="0" fontId="0" fillId="0" borderId="1" xfId="0" applyBorder="1"/>
    <xf numFmtId="0" fontId="2" fillId="3" borderId="0" xfId="0" applyFont="1" applyFill="1" applyAlignment="1">
      <alignment horizontal="left" vertical="center" wrapText="1"/>
    </xf>
    <xf numFmtId="0" fontId="0" fillId="0" borderId="0" xfId="0"/>
    <xf numFmtId="0" fontId="5" fillId="5" borderId="1" xfId="0" applyFont="1" applyFill="1" applyBorder="1" applyAlignment="1">
      <alignment horizontal="left" vertical="center" indent="1"/>
    </xf>
    <xf numFmtId="0" fontId="3" fillId="10" borderId="1" xfId="0" applyFont="1" applyFill="1" applyBorder="1" applyAlignment="1">
      <alignment horizontal="left" vertical="center" indent="1"/>
    </xf>
    <xf numFmtId="0" fontId="1" fillId="2" borderId="0" xfId="0" applyFont="1" applyFill="1" applyAlignment="1">
      <alignment horizontal="left" vertical="center" indent="1"/>
    </xf>
    <xf numFmtId="0" fontId="5" fillId="18" borderId="1" xfId="0" applyFont="1" applyFill="1" applyBorder="1" applyAlignment="1">
      <alignment horizontal="left" vertical="center" indent="1"/>
    </xf>
    <xf numFmtId="0" fontId="3" fillId="17" borderId="1" xfId="0" applyFont="1" applyFill="1" applyBorder="1" applyAlignment="1">
      <alignment horizontal="left" vertical="center" indent="1"/>
    </xf>
    <xf numFmtId="0" fontId="5" fillId="18" borderId="1" xfId="0" applyFont="1" applyFill="1" applyBorder="1" applyAlignment="1">
      <alignment horizontal="center" vertical="center" wrapText="1"/>
    </xf>
    <xf numFmtId="0" fontId="20" fillId="3" borderId="1" xfId="0" applyFont="1" applyFill="1" applyBorder="1" applyAlignment="1">
      <alignment horizontal="left" vertical="center" wrapText="1"/>
    </xf>
    <xf numFmtId="0" fontId="3" fillId="2" borderId="1" xfId="0" applyFont="1" applyFill="1" applyBorder="1" applyAlignment="1">
      <alignment horizontal="left" vertical="center" indent="1"/>
    </xf>
    <xf numFmtId="0" fontId="20" fillId="6" borderId="1" xfId="0" applyFont="1" applyFill="1" applyBorder="1" applyAlignment="1">
      <alignment horizontal="left" vertical="center" wrapText="1"/>
    </xf>
    <xf numFmtId="0" fontId="3" fillId="20" borderId="1" xfId="0" applyFont="1" applyFill="1" applyBorder="1" applyAlignment="1">
      <alignment horizontal="left" vertical="center" indent="1"/>
    </xf>
    <xf numFmtId="0" fontId="3" fillId="19" borderId="1" xfId="0" applyFont="1" applyFill="1" applyBorder="1" applyAlignment="1">
      <alignment horizontal="left" vertical="center" indent="1"/>
    </xf>
    <xf numFmtId="0" fontId="3" fillId="21" borderId="1" xfId="0" applyFont="1" applyFill="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showGridLines="0" workbookViewId="0">
      <selection sqref="A1:N1"/>
    </sheetView>
  </sheetViews>
  <sheetFormatPr defaultRowHeight="15" x14ac:dyDescent="0.25"/>
  <cols>
    <col min="1" max="1" width="22" customWidth="1"/>
    <col min="2" max="13" width="13" customWidth="1"/>
    <col min="14" max="14" width="16" customWidth="1"/>
  </cols>
  <sheetData>
    <row r="1" spans="1:14" ht="36" customHeight="1" x14ac:dyDescent="0.25">
      <c r="A1" s="47" t="s">
        <v>0</v>
      </c>
      <c r="B1" s="44"/>
      <c r="C1" s="44"/>
      <c r="D1" s="44"/>
      <c r="E1" s="44"/>
      <c r="F1" s="44"/>
      <c r="G1" s="44"/>
      <c r="H1" s="44"/>
      <c r="I1" s="44"/>
      <c r="J1" s="44"/>
      <c r="K1" s="44"/>
      <c r="L1" s="44"/>
      <c r="M1" s="44"/>
      <c r="N1" s="44"/>
    </row>
    <row r="2" spans="1:14" ht="20.100000000000001" customHeight="1" x14ac:dyDescent="0.25">
      <c r="A2" s="43" t="s">
        <v>1</v>
      </c>
      <c r="B2" s="44"/>
      <c r="C2" s="44"/>
      <c r="D2" s="44"/>
      <c r="E2" s="44"/>
      <c r="F2" s="44"/>
      <c r="G2" s="44"/>
      <c r="H2" s="44"/>
      <c r="I2" s="44"/>
      <c r="J2" s="44"/>
      <c r="K2" s="44"/>
      <c r="L2" s="44"/>
      <c r="M2" s="44"/>
      <c r="N2" s="44"/>
    </row>
    <row r="4" spans="1:14" ht="24" customHeight="1" x14ac:dyDescent="0.25">
      <c r="A4" s="1" t="s">
        <v>2</v>
      </c>
      <c r="B4" s="1" t="s">
        <v>3</v>
      </c>
      <c r="C4" s="1" t="s">
        <v>4</v>
      </c>
      <c r="D4" s="1" t="s">
        <v>5</v>
      </c>
      <c r="E4" s="1" t="s">
        <v>6</v>
      </c>
      <c r="F4" s="1" t="s">
        <v>7</v>
      </c>
      <c r="G4" s="1" t="s">
        <v>8</v>
      </c>
      <c r="H4" s="1" t="s">
        <v>9</v>
      </c>
      <c r="I4" s="1" t="s">
        <v>10</v>
      </c>
      <c r="J4" s="1" t="s">
        <v>11</v>
      </c>
      <c r="K4" s="1" t="s">
        <v>12</v>
      </c>
      <c r="L4" s="1" t="s">
        <v>13</v>
      </c>
      <c r="M4" s="1" t="s">
        <v>14</v>
      </c>
      <c r="N4" s="2" t="s">
        <v>15</v>
      </c>
    </row>
    <row r="5" spans="1:14" ht="20.100000000000001" customHeight="1" x14ac:dyDescent="0.25">
      <c r="A5" s="45" t="s">
        <v>16</v>
      </c>
      <c r="B5" s="42"/>
      <c r="C5" s="42"/>
      <c r="D5" s="42"/>
      <c r="E5" s="42"/>
      <c r="F5" s="42"/>
      <c r="G5" s="42"/>
      <c r="H5" s="42"/>
      <c r="I5" s="42"/>
      <c r="J5" s="42"/>
      <c r="K5" s="42"/>
      <c r="L5" s="42"/>
      <c r="M5" s="42"/>
      <c r="N5" s="42"/>
    </row>
    <row r="6" spans="1:14" ht="18" customHeight="1" x14ac:dyDescent="0.25">
      <c r="A6" s="5" t="s">
        <v>17</v>
      </c>
      <c r="B6" s="6">
        <v>0</v>
      </c>
      <c r="C6" s="6">
        <v>0</v>
      </c>
      <c r="D6" s="6">
        <v>0</v>
      </c>
      <c r="E6" s="6">
        <v>0</v>
      </c>
      <c r="F6" s="6">
        <v>0</v>
      </c>
      <c r="G6" s="6">
        <v>0</v>
      </c>
      <c r="H6" s="6">
        <v>0</v>
      </c>
      <c r="I6" s="6">
        <v>0</v>
      </c>
      <c r="J6" s="6">
        <v>0</v>
      </c>
      <c r="K6" s="6">
        <v>0</v>
      </c>
      <c r="L6" s="6">
        <v>0</v>
      </c>
      <c r="M6" s="6">
        <v>0</v>
      </c>
      <c r="N6" s="7">
        <f t="shared" ref="N6:N12" si="0">SUM(B6:M6)</f>
        <v>0</v>
      </c>
    </row>
    <row r="7" spans="1:14" ht="18" customHeight="1" x14ac:dyDescent="0.25">
      <c r="A7" s="8" t="s">
        <v>18</v>
      </c>
      <c r="B7" s="9">
        <v>0</v>
      </c>
      <c r="C7" s="9">
        <v>0</v>
      </c>
      <c r="D7" s="9">
        <v>0</v>
      </c>
      <c r="E7" s="9">
        <v>0</v>
      </c>
      <c r="F7" s="9">
        <v>0</v>
      </c>
      <c r="G7" s="9">
        <v>0</v>
      </c>
      <c r="H7" s="9">
        <v>0</v>
      </c>
      <c r="I7" s="9">
        <v>0</v>
      </c>
      <c r="J7" s="9">
        <v>0</v>
      </c>
      <c r="K7" s="9">
        <v>0</v>
      </c>
      <c r="L7" s="9">
        <v>0</v>
      </c>
      <c r="M7" s="9">
        <v>0</v>
      </c>
      <c r="N7" s="7">
        <f t="shared" si="0"/>
        <v>0</v>
      </c>
    </row>
    <row r="8" spans="1:14" ht="18" customHeight="1" x14ac:dyDescent="0.25">
      <c r="A8" s="5" t="s">
        <v>19</v>
      </c>
      <c r="B8" s="6">
        <v>0</v>
      </c>
      <c r="C8" s="6">
        <v>0</v>
      </c>
      <c r="D8" s="6">
        <v>0</v>
      </c>
      <c r="E8" s="6">
        <v>0</v>
      </c>
      <c r="F8" s="6">
        <v>0</v>
      </c>
      <c r="G8" s="6">
        <v>0</v>
      </c>
      <c r="H8" s="6">
        <v>0</v>
      </c>
      <c r="I8" s="6">
        <v>0</v>
      </c>
      <c r="J8" s="6">
        <v>0</v>
      </c>
      <c r="K8" s="6">
        <v>0</v>
      </c>
      <c r="L8" s="6">
        <v>0</v>
      </c>
      <c r="M8" s="6">
        <v>0</v>
      </c>
      <c r="N8" s="7">
        <f t="shared" si="0"/>
        <v>0</v>
      </c>
    </row>
    <row r="9" spans="1:14" ht="18" customHeight="1" x14ac:dyDescent="0.25">
      <c r="A9" s="8" t="s">
        <v>20</v>
      </c>
      <c r="B9" s="9">
        <v>0</v>
      </c>
      <c r="C9" s="9">
        <v>0</v>
      </c>
      <c r="D9" s="9">
        <v>0</v>
      </c>
      <c r="E9" s="9">
        <v>0</v>
      </c>
      <c r="F9" s="9">
        <v>0</v>
      </c>
      <c r="G9" s="9">
        <v>0</v>
      </c>
      <c r="H9" s="9">
        <v>0</v>
      </c>
      <c r="I9" s="9">
        <v>0</v>
      </c>
      <c r="J9" s="9">
        <v>0</v>
      </c>
      <c r="K9" s="9">
        <v>0</v>
      </c>
      <c r="L9" s="9">
        <v>0</v>
      </c>
      <c r="M9" s="9">
        <v>0</v>
      </c>
      <c r="N9" s="7">
        <f t="shared" si="0"/>
        <v>0</v>
      </c>
    </row>
    <row r="10" spans="1:14" ht="18" customHeight="1" x14ac:dyDescent="0.25">
      <c r="A10" s="5" t="s">
        <v>21</v>
      </c>
      <c r="B10" s="6">
        <v>0</v>
      </c>
      <c r="C10" s="6">
        <v>0</v>
      </c>
      <c r="D10" s="6">
        <v>0</v>
      </c>
      <c r="E10" s="6">
        <v>0</v>
      </c>
      <c r="F10" s="6">
        <v>0</v>
      </c>
      <c r="G10" s="6">
        <v>0</v>
      </c>
      <c r="H10" s="6">
        <v>0</v>
      </c>
      <c r="I10" s="6">
        <v>0</v>
      </c>
      <c r="J10" s="6">
        <v>0</v>
      </c>
      <c r="K10" s="6">
        <v>0</v>
      </c>
      <c r="L10" s="6">
        <v>0</v>
      </c>
      <c r="M10" s="6">
        <v>0</v>
      </c>
      <c r="N10" s="7">
        <f t="shared" si="0"/>
        <v>0</v>
      </c>
    </row>
    <row r="11" spans="1:14" ht="18" customHeight="1" x14ac:dyDescent="0.25">
      <c r="A11" s="8" t="s">
        <v>22</v>
      </c>
      <c r="B11" s="9">
        <v>0</v>
      </c>
      <c r="C11" s="9">
        <v>0</v>
      </c>
      <c r="D11" s="9">
        <v>0</v>
      </c>
      <c r="E11" s="9">
        <v>0</v>
      </c>
      <c r="F11" s="9">
        <v>0</v>
      </c>
      <c r="G11" s="9">
        <v>0</v>
      </c>
      <c r="H11" s="9">
        <v>0</v>
      </c>
      <c r="I11" s="9">
        <v>0</v>
      </c>
      <c r="J11" s="9">
        <v>0</v>
      </c>
      <c r="K11" s="9">
        <v>0</v>
      </c>
      <c r="L11" s="9">
        <v>0</v>
      </c>
      <c r="M11" s="9">
        <v>0</v>
      </c>
      <c r="N11" s="7">
        <f t="shared" si="0"/>
        <v>0</v>
      </c>
    </row>
    <row r="12" spans="1:14" ht="18" customHeight="1" x14ac:dyDescent="0.25">
      <c r="A12" s="5" t="s">
        <v>23</v>
      </c>
      <c r="B12" s="6">
        <v>0</v>
      </c>
      <c r="C12" s="6">
        <v>0</v>
      </c>
      <c r="D12" s="6">
        <v>0</v>
      </c>
      <c r="E12" s="6">
        <v>0</v>
      </c>
      <c r="F12" s="6">
        <v>0</v>
      </c>
      <c r="G12" s="6">
        <v>0</v>
      </c>
      <c r="H12" s="6">
        <v>0</v>
      </c>
      <c r="I12" s="6">
        <v>0</v>
      </c>
      <c r="J12" s="6">
        <v>0</v>
      </c>
      <c r="K12" s="6">
        <v>0</v>
      </c>
      <c r="L12" s="6">
        <v>0</v>
      </c>
      <c r="M12" s="6">
        <v>0</v>
      </c>
      <c r="N12" s="7">
        <f t="shared" si="0"/>
        <v>0</v>
      </c>
    </row>
    <row r="13" spans="1:14" ht="21.95" customHeight="1" x14ac:dyDescent="0.25">
      <c r="A13" s="3" t="s">
        <v>24</v>
      </c>
      <c r="B13" s="10">
        <f t="shared" ref="B13:N13" si="1">SUM(B6:B12)</f>
        <v>0</v>
      </c>
      <c r="C13" s="10">
        <f t="shared" si="1"/>
        <v>0</v>
      </c>
      <c r="D13" s="10">
        <f t="shared" si="1"/>
        <v>0</v>
      </c>
      <c r="E13" s="10">
        <f t="shared" si="1"/>
        <v>0</v>
      </c>
      <c r="F13" s="10">
        <f t="shared" si="1"/>
        <v>0</v>
      </c>
      <c r="G13" s="10">
        <f t="shared" si="1"/>
        <v>0</v>
      </c>
      <c r="H13" s="10">
        <f t="shared" si="1"/>
        <v>0</v>
      </c>
      <c r="I13" s="10">
        <f t="shared" si="1"/>
        <v>0</v>
      </c>
      <c r="J13" s="10">
        <f t="shared" si="1"/>
        <v>0</v>
      </c>
      <c r="K13" s="10">
        <f t="shared" si="1"/>
        <v>0</v>
      </c>
      <c r="L13" s="10">
        <f t="shared" si="1"/>
        <v>0</v>
      </c>
      <c r="M13" s="10">
        <f t="shared" si="1"/>
        <v>0</v>
      </c>
      <c r="N13" s="11">
        <f t="shared" si="1"/>
        <v>0</v>
      </c>
    </row>
    <row r="14" spans="1:14" ht="20.100000000000001" customHeight="1" x14ac:dyDescent="0.25">
      <c r="A14" s="46" t="s">
        <v>25</v>
      </c>
      <c r="B14" s="42"/>
      <c r="C14" s="42"/>
      <c r="D14" s="42"/>
      <c r="E14" s="42"/>
      <c r="F14" s="42"/>
      <c r="G14" s="42"/>
      <c r="H14" s="42"/>
      <c r="I14" s="42"/>
      <c r="J14" s="42"/>
      <c r="K14" s="42"/>
      <c r="L14" s="42"/>
      <c r="M14" s="42"/>
      <c r="N14" s="42"/>
    </row>
    <row r="15" spans="1:14" ht="18" customHeight="1" x14ac:dyDescent="0.25">
      <c r="A15" s="5" t="s">
        <v>26</v>
      </c>
      <c r="B15" s="6">
        <v>0</v>
      </c>
      <c r="C15" s="6">
        <v>0</v>
      </c>
      <c r="D15" s="6">
        <v>0</v>
      </c>
      <c r="E15" s="6">
        <v>0</v>
      </c>
      <c r="F15" s="6">
        <v>0</v>
      </c>
      <c r="G15" s="6">
        <v>0</v>
      </c>
      <c r="H15" s="6">
        <v>0</v>
      </c>
      <c r="I15" s="6">
        <v>0</v>
      </c>
      <c r="J15" s="6">
        <v>0</v>
      </c>
      <c r="K15" s="6">
        <v>0</v>
      </c>
      <c r="L15" s="6">
        <v>0</v>
      </c>
      <c r="M15" s="6">
        <v>0</v>
      </c>
      <c r="N15" s="13">
        <f t="shared" ref="N15:N21" si="2">SUM(B15:M15)</f>
        <v>0</v>
      </c>
    </row>
    <row r="16" spans="1:14" ht="18" customHeight="1" x14ac:dyDescent="0.25">
      <c r="A16" s="8" t="s">
        <v>27</v>
      </c>
      <c r="B16" s="9">
        <v>0</v>
      </c>
      <c r="C16" s="9">
        <v>0</v>
      </c>
      <c r="D16" s="9">
        <v>0</v>
      </c>
      <c r="E16" s="9">
        <v>0</v>
      </c>
      <c r="F16" s="9">
        <v>0</v>
      </c>
      <c r="G16" s="9">
        <v>0</v>
      </c>
      <c r="H16" s="9">
        <v>0</v>
      </c>
      <c r="I16" s="9">
        <v>0</v>
      </c>
      <c r="J16" s="9">
        <v>0</v>
      </c>
      <c r="K16" s="9">
        <v>0</v>
      </c>
      <c r="L16" s="9">
        <v>0</v>
      </c>
      <c r="M16" s="9">
        <v>0</v>
      </c>
      <c r="N16" s="13">
        <f t="shared" si="2"/>
        <v>0</v>
      </c>
    </row>
    <row r="17" spans="1:14" ht="18" customHeight="1" x14ac:dyDescent="0.25">
      <c r="A17" s="5" t="s">
        <v>28</v>
      </c>
      <c r="B17" s="6">
        <v>0</v>
      </c>
      <c r="C17" s="6">
        <v>0</v>
      </c>
      <c r="D17" s="6">
        <v>0</v>
      </c>
      <c r="E17" s="6">
        <v>0</v>
      </c>
      <c r="F17" s="6">
        <v>0</v>
      </c>
      <c r="G17" s="6">
        <v>0</v>
      </c>
      <c r="H17" s="6">
        <v>0</v>
      </c>
      <c r="I17" s="6">
        <v>0</v>
      </c>
      <c r="J17" s="6">
        <v>0</v>
      </c>
      <c r="K17" s="6">
        <v>0</v>
      </c>
      <c r="L17" s="6">
        <v>0</v>
      </c>
      <c r="M17" s="6">
        <v>0</v>
      </c>
      <c r="N17" s="13">
        <f t="shared" si="2"/>
        <v>0</v>
      </c>
    </row>
    <row r="18" spans="1:14" ht="18" customHeight="1" x14ac:dyDescent="0.25">
      <c r="A18" s="8" t="s">
        <v>29</v>
      </c>
      <c r="B18" s="9">
        <v>0</v>
      </c>
      <c r="C18" s="9">
        <v>0</v>
      </c>
      <c r="D18" s="9">
        <v>0</v>
      </c>
      <c r="E18" s="9">
        <v>0</v>
      </c>
      <c r="F18" s="9">
        <v>0</v>
      </c>
      <c r="G18" s="9">
        <v>0</v>
      </c>
      <c r="H18" s="9">
        <v>0</v>
      </c>
      <c r="I18" s="9">
        <v>0</v>
      </c>
      <c r="J18" s="9">
        <v>0</v>
      </c>
      <c r="K18" s="9">
        <v>0</v>
      </c>
      <c r="L18" s="9">
        <v>0</v>
      </c>
      <c r="M18" s="9">
        <v>0</v>
      </c>
      <c r="N18" s="13">
        <f t="shared" si="2"/>
        <v>0</v>
      </c>
    </row>
    <row r="19" spans="1:14" ht="18" customHeight="1" x14ac:dyDescent="0.25">
      <c r="A19" s="5" t="s">
        <v>30</v>
      </c>
      <c r="B19" s="6">
        <v>0</v>
      </c>
      <c r="C19" s="6">
        <v>0</v>
      </c>
      <c r="D19" s="6">
        <v>0</v>
      </c>
      <c r="E19" s="6">
        <v>0</v>
      </c>
      <c r="F19" s="6">
        <v>0</v>
      </c>
      <c r="G19" s="6">
        <v>0</v>
      </c>
      <c r="H19" s="6">
        <v>0</v>
      </c>
      <c r="I19" s="6">
        <v>0</v>
      </c>
      <c r="J19" s="6">
        <v>0</v>
      </c>
      <c r="K19" s="6">
        <v>0</v>
      </c>
      <c r="L19" s="6">
        <v>0</v>
      </c>
      <c r="M19" s="6">
        <v>0</v>
      </c>
      <c r="N19" s="13">
        <f t="shared" si="2"/>
        <v>0</v>
      </c>
    </row>
    <row r="20" spans="1:14" ht="18" customHeight="1" x14ac:dyDescent="0.25">
      <c r="A20" s="8" t="s">
        <v>31</v>
      </c>
      <c r="B20" s="9">
        <v>0</v>
      </c>
      <c r="C20" s="9">
        <v>0</v>
      </c>
      <c r="D20" s="9">
        <v>0</v>
      </c>
      <c r="E20" s="9">
        <v>0</v>
      </c>
      <c r="F20" s="9">
        <v>0</v>
      </c>
      <c r="G20" s="9">
        <v>0</v>
      </c>
      <c r="H20" s="9">
        <v>0</v>
      </c>
      <c r="I20" s="9">
        <v>0</v>
      </c>
      <c r="J20" s="9">
        <v>0</v>
      </c>
      <c r="K20" s="9">
        <v>0</v>
      </c>
      <c r="L20" s="9">
        <v>0</v>
      </c>
      <c r="M20" s="9">
        <v>0</v>
      </c>
      <c r="N20" s="13">
        <f t="shared" si="2"/>
        <v>0</v>
      </c>
    </row>
    <row r="21" spans="1:14" ht="18" customHeight="1" x14ac:dyDescent="0.25">
      <c r="A21" s="5" t="s">
        <v>32</v>
      </c>
      <c r="B21" s="6">
        <v>0</v>
      </c>
      <c r="C21" s="6">
        <v>0</v>
      </c>
      <c r="D21" s="6">
        <v>0</v>
      </c>
      <c r="E21" s="6">
        <v>0</v>
      </c>
      <c r="F21" s="6">
        <v>0</v>
      </c>
      <c r="G21" s="6">
        <v>0</v>
      </c>
      <c r="H21" s="6">
        <v>0</v>
      </c>
      <c r="I21" s="6">
        <v>0</v>
      </c>
      <c r="J21" s="6">
        <v>0</v>
      </c>
      <c r="K21" s="6">
        <v>0</v>
      </c>
      <c r="L21" s="6">
        <v>0</v>
      </c>
      <c r="M21" s="6">
        <v>0</v>
      </c>
      <c r="N21" s="13">
        <f t="shared" si="2"/>
        <v>0</v>
      </c>
    </row>
    <row r="22" spans="1:14" ht="21.95" customHeight="1" x14ac:dyDescent="0.25">
      <c r="A22" s="12" t="s">
        <v>33</v>
      </c>
      <c r="B22" s="14">
        <f t="shared" ref="B22:N22" si="3">SUM(B15:B21)</f>
        <v>0</v>
      </c>
      <c r="C22" s="14">
        <f t="shared" si="3"/>
        <v>0</v>
      </c>
      <c r="D22" s="14">
        <f t="shared" si="3"/>
        <v>0</v>
      </c>
      <c r="E22" s="14">
        <f t="shared" si="3"/>
        <v>0</v>
      </c>
      <c r="F22" s="14">
        <f t="shared" si="3"/>
        <v>0</v>
      </c>
      <c r="G22" s="14">
        <f t="shared" si="3"/>
        <v>0</v>
      </c>
      <c r="H22" s="14">
        <f t="shared" si="3"/>
        <v>0</v>
      </c>
      <c r="I22" s="14">
        <f t="shared" si="3"/>
        <v>0</v>
      </c>
      <c r="J22" s="14">
        <f t="shared" si="3"/>
        <v>0</v>
      </c>
      <c r="K22" s="14">
        <f t="shared" si="3"/>
        <v>0</v>
      </c>
      <c r="L22" s="14">
        <f t="shared" si="3"/>
        <v>0</v>
      </c>
      <c r="M22" s="14">
        <f t="shared" si="3"/>
        <v>0</v>
      </c>
      <c r="N22" s="15">
        <f t="shared" si="3"/>
        <v>0</v>
      </c>
    </row>
    <row r="23" spans="1:14" ht="26.1" customHeight="1" x14ac:dyDescent="0.25">
      <c r="A23" s="16" t="s">
        <v>34</v>
      </c>
      <c r="B23" s="17">
        <f t="shared" ref="B23:N23" si="4">B13-B22</f>
        <v>0</v>
      </c>
      <c r="C23" s="17">
        <f t="shared" si="4"/>
        <v>0</v>
      </c>
      <c r="D23" s="17">
        <f t="shared" si="4"/>
        <v>0</v>
      </c>
      <c r="E23" s="17">
        <f t="shared" si="4"/>
        <v>0</v>
      </c>
      <c r="F23" s="17">
        <f t="shared" si="4"/>
        <v>0</v>
      </c>
      <c r="G23" s="17">
        <f t="shared" si="4"/>
        <v>0</v>
      </c>
      <c r="H23" s="17">
        <f t="shared" si="4"/>
        <v>0</v>
      </c>
      <c r="I23" s="17">
        <f t="shared" si="4"/>
        <v>0</v>
      </c>
      <c r="J23" s="17">
        <f t="shared" si="4"/>
        <v>0</v>
      </c>
      <c r="K23" s="17">
        <f t="shared" si="4"/>
        <v>0</v>
      </c>
      <c r="L23" s="17">
        <f t="shared" si="4"/>
        <v>0</v>
      </c>
      <c r="M23" s="17">
        <f t="shared" si="4"/>
        <v>0</v>
      </c>
      <c r="N23" s="18">
        <f t="shared" si="4"/>
        <v>0</v>
      </c>
    </row>
    <row r="24" spans="1:14" ht="21.95" customHeight="1" x14ac:dyDescent="0.25">
      <c r="A24" s="19" t="s">
        <v>35</v>
      </c>
      <c r="B24" s="20">
        <f t="shared" ref="B24:N24" si="5">IFERROR(B23/B13,0)</f>
        <v>0</v>
      </c>
      <c r="C24" s="20">
        <f t="shared" si="5"/>
        <v>0</v>
      </c>
      <c r="D24" s="20">
        <f t="shared" si="5"/>
        <v>0</v>
      </c>
      <c r="E24" s="20">
        <f t="shared" si="5"/>
        <v>0</v>
      </c>
      <c r="F24" s="20">
        <f t="shared" si="5"/>
        <v>0</v>
      </c>
      <c r="G24" s="20">
        <f t="shared" si="5"/>
        <v>0</v>
      </c>
      <c r="H24" s="20">
        <f t="shared" si="5"/>
        <v>0</v>
      </c>
      <c r="I24" s="20">
        <f t="shared" si="5"/>
        <v>0</v>
      </c>
      <c r="J24" s="20">
        <f t="shared" si="5"/>
        <v>0</v>
      </c>
      <c r="K24" s="20">
        <f t="shared" si="5"/>
        <v>0</v>
      </c>
      <c r="L24" s="20">
        <f t="shared" si="5"/>
        <v>0</v>
      </c>
      <c r="M24" s="20">
        <f t="shared" si="5"/>
        <v>0</v>
      </c>
      <c r="N24" s="21">
        <f t="shared" si="5"/>
        <v>0</v>
      </c>
    </row>
    <row r="25" spans="1:14" x14ac:dyDescent="0.25">
      <c r="A25" s="4"/>
      <c r="B25" s="4"/>
      <c r="C25" s="4"/>
      <c r="D25" s="4"/>
      <c r="E25" s="4"/>
      <c r="F25" s="4"/>
      <c r="G25" s="4"/>
      <c r="H25" s="4"/>
      <c r="I25" s="4"/>
      <c r="J25" s="4"/>
      <c r="K25" s="4"/>
      <c r="L25" s="4"/>
      <c r="M25" s="4"/>
      <c r="N25" s="4"/>
    </row>
    <row r="26" spans="1:14" ht="20.100000000000001" customHeight="1" x14ac:dyDescent="0.25">
      <c r="A26" s="41" t="s">
        <v>36</v>
      </c>
      <c r="B26" s="42"/>
      <c r="C26" s="42"/>
      <c r="D26" s="42"/>
      <c r="E26" s="42"/>
      <c r="F26" s="42"/>
      <c r="G26" s="42"/>
      <c r="H26" s="42"/>
      <c r="I26" s="42"/>
      <c r="J26" s="42"/>
      <c r="K26" s="42"/>
      <c r="L26" s="42"/>
      <c r="M26" s="42"/>
      <c r="N26" s="42"/>
    </row>
    <row r="27" spans="1:14" ht="18" customHeight="1" x14ac:dyDescent="0.25">
      <c r="A27" s="5" t="s">
        <v>37</v>
      </c>
      <c r="B27" s="6">
        <v>0</v>
      </c>
      <c r="C27" s="6">
        <v>0</v>
      </c>
      <c r="D27" s="6">
        <v>0</v>
      </c>
      <c r="E27" s="6">
        <v>0</v>
      </c>
      <c r="F27" s="6">
        <v>0</v>
      </c>
      <c r="G27" s="6">
        <v>0</v>
      </c>
      <c r="H27" s="6">
        <v>0</v>
      </c>
      <c r="I27" s="6">
        <v>0</v>
      </c>
      <c r="J27" s="6">
        <v>0</v>
      </c>
      <c r="K27" s="6">
        <v>0</v>
      </c>
      <c r="L27" s="6">
        <v>0</v>
      </c>
      <c r="M27" s="6">
        <v>0</v>
      </c>
      <c r="N27" s="7">
        <f>SUM(B27:M27)</f>
        <v>0</v>
      </c>
    </row>
    <row r="28" spans="1:14" ht="18" customHeight="1" x14ac:dyDescent="0.25">
      <c r="A28" s="8" t="s">
        <v>38</v>
      </c>
      <c r="B28" s="9">
        <v>0</v>
      </c>
      <c r="C28" s="9">
        <v>0</v>
      </c>
      <c r="D28" s="9">
        <v>0</v>
      </c>
      <c r="E28" s="9">
        <v>0</v>
      </c>
      <c r="F28" s="9">
        <v>0</v>
      </c>
      <c r="G28" s="9">
        <v>0</v>
      </c>
      <c r="H28" s="9">
        <v>0</v>
      </c>
      <c r="I28" s="9">
        <v>0</v>
      </c>
      <c r="J28" s="9">
        <v>0</v>
      </c>
      <c r="K28" s="9">
        <v>0</v>
      </c>
      <c r="L28" s="9">
        <v>0</v>
      </c>
      <c r="M28" s="9">
        <v>0</v>
      </c>
      <c r="N28" s="7">
        <f>SUM(B28:M28)</f>
        <v>0</v>
      </c>
    </row>
    <row r="29" spans="1:14" ht="18" customHeight="1" x14ac:dyDescent="0.25">
      <c r="A29" s="5" t="s">
        <v>39</v>
      </c>
      <c r="B29" s="6">
        <v>0</v>
      </c>
      <c r="C29" s="6">
        <v>0</v>
      </c>
      <c r="D29" s="6">
        <v>0</v>
      </c>
      <c r="E29" s="6">
        <v>0</v>
      </c>
      <c r="F29" s="6">
        <v>0</v>
      </c>
      <c r="G29" s="6">
        <v>0</v>
      </c>
      <c r="H29" s="6">
        <v>0</v>
      </c>
      <c r="I29" s="6">
        <v>0</v>
      </c>
      <c r="J29" s="6">
        <v>0</v>
      </c>
      <c r="K29" s="6">
        <v>0</v>
      </c>
      <c r="L29" s="6">
        <v>0</v>
      </c>
      <c r="M29" s="6">
        <v>0</v>
      </c>
      <c r="N29" s="7">
        <f>SUM(B29:M29)</f>
        <v>0</v>
      </c>
    </row>
    <row r="30" spans="1:14" ht="18" customHeight="1" x14ac:dyDescent="0.25">
      <c r="A30" s="8" t="s">
        <v>40</v>
      </c>
      <c r="B30" s="22">
        <f t="shared" ref="B30:M30" si="6">IFERROR(B29/B28,0)</f>
        <v>0</v>
      </c>
      <c r="C30" s="22">
        <f t="shared" si="6"/>
        <v>0</v>
      </c>
      <c r="D30" s="22">
        <f t="shared" si="6"/>
        <v>0</v>
      </c>
      <c r="E30" s="22">
        <f t="shared" si="6"/>
        <v>0</v>
      </c>
      <c r="F30" s="22">
        <f t="shared" si="6"/>
        <v>0</v>
      </c>
      <c r="G30" s="22">
        <f t="shared" si="6"/>
        <v>0</v>
      </c>
      <c r="H30" s="22">
        <f t="shared" si="6"/>
        <v>0</v>
      </c>
      <c r="I30" s="22">
        <f t="shared" si="6"/>
        <v>0</v>
      </c>
      <c r="J30" s="22">
        <f t="shared" si="6"/>
        <v>0</v>
      </c>
      <c r="K30" s="22">
        <f t="shared" si="6"/>
        <v>0</v>
      </c>
      <c r="L30" s="22">
        <f t="shared" si="6"/>
        <v>0</v>
      </c>
      <c r="M30" s="22">
        <f t="shared" si="6"/>
        <v>0</v>
      </c>
      <c r="N30" s="23">
        <f>AVERAGE(B30:M30)</f>
        <v>0</v>
      </c>
    </row>
    <row r="31" spans="1:14" ht="18" customHeight="1" x14ac:dyDescent="0.25">
      <c r="A31" s="5" t="s">
        <v>41</v>
      </c>
      <c r="B31" s="24">
        <f t="shared" ref="B31:M31" si="7">IFERROR(B19/B27,0)</f>
        <v>0</v>
      </c>
      <c r="C31" s="24">
        <f t="shared" si="7"/>
        <v>0</v>
      </c>
      <c r="D31" s="24">
        <f t="shared" si="7"/>
        <v>0</v>
      </c>
      <c r="E31" s="24">
        <f t="shared" si="7"/>
        <v>0</v>
      </c>
      <c r="F31" s="24">
        <f t="shared" si="7"/>
        <v>0</v>
      </c>
      <c r="G31" s="24">
        <f t="shared" si="7"/>
        <v>0</v>
      </c>
      <c r="H31" s="24">
        <f t="shared" si="7"/>
        <v>0</v>
      </c>
      <c r="I31" s="24">
        <f t="shared" si="7"/>
        <v>0</v>
      </c>
      <c r="J31" s="24">
        <f t="shared" si="7"/>
        <v>0</v>
      </c>
      <c r="K31" s="24">
        <f t="shared" si="7"/>
        <v>0</v>
      </c>
      <c r="L31" s="24">
        <f t="shared" si="7"/>
        <v>0</v>
      </c>
      <c r="M31" s="24">
        <f t="shared" si="7"/>
        <v>0</v>
      </c>
      <c r="N31" s="7">
        <f>AVERAGE(B31:M31)</f>
        <v>0</v>
      </c>
    </row>
  </sheetData>
  <mergeCells count="5">
    <mergeCell ref="A26:N26"/>
    <mergeCell ref="A2:N2"/>
    <mergeCell ref="A5:N5"/>
    <mergeCell ref="A14:N14"/>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showGridLines="0" tabSelected="1" workbookViewId="0">
      <selection activeCell="H5" sqref="H5"/>
    </sheetView>
  </sheetViews>
  <sheetFormatPr defaultRowHeight="15" x14ac:dyDescent="0.25"/>
  <cols>
    <col min="1" max="1" width="14" customWidth="1"/>
    <col min="2" max="2" width="20" customWidth="1"/>
    <col min="3" max="3" width="70" customWidth="1"/>
    <col min="4" max="4" width="24" customWidth="1"/>
  </cols>
  <sheetData>
    <row r="1" spans="1:4" ht="36" customHeight="1" x14ac:dyDescent="0.25">
      <c r="A1" s="47" t="s">
        <v>42</v>
      </c>
      <c r="B1" s="44"/>
      <c r="C1" s="44"/>
      <c r="D1" s="44"/>
    </row>
    <row r="2" spans="1:4" ht="18" customHeight="1" x14ac:dyDescent="0.25">
      <c r="A2" s="43" t="s">
        <v>43</v>
      </c>
      <c r="B2" s="44"/>
      <c r="C2" s="44"/>
      <c r="D2" s="44"/>
    </row>
    <row r="4" spans="1:4" ht="21.95" customHeight="1" x14ac:dyDescent="0.25">
      <c r="A4" s="1" t="s">
        <v>44</v>
      </c>
      <c r="B4" s="1" t="s">
        <v>45</v>
      </c>
      <c r="C4" s="1" t="s">
        <v>46</v>
      </c>
      <c r="D4" s="1" t="s">
        <v>47</v>
      </c>
    </row>
    <row r="5" spans="1:4" ht="110.1" customHeight="1" x14ac:dyDescent="0.25">
      <c r="A5" s="25" t="s">
        <v>48</v>
      </c>
      <c r="B5" s="26" t="s">
        <v>49</v>
      </c>
      <c r="C5" s="27" t="s">
        <v>50</v>
      </c>
      <c r="D5" s="28" t="s">
        <v>51</v>
      </c>
    </row>
    <row r="6" spans="1:4" x14ac:dyDescent="0.25">
      <c r="A6" s="4"/>
      <c r="B6" s="4"/>
      <c r="C6" s="4"/>
      <c r="D6" s="4"/>
    </row>
    <row r="7" spans="1:4" ht="110.1" customHeight="1" x14ac:dyDescent="0.25">
      <c r="A7" s="29" t="s">
        <v>52</v>
      </c>
      <c r="B7" s="30" t="s">
        <v>53</v>
      </c>
      <c r="C7" s="31" t="s">
        <v>54</v>
      </c>
      <c r="D7" s="32" t="s">
        <v>55</v>
      </c>
    </row>
    <row r="8" spans="1:4" x14ac:dyDescent="0.25">
      <c r="A8" s="4"/>
      <c r="B8" s="4"/>
      <c r="C8" s="4"/>
      <c r="D8" s="4"/>
    </row>
    <row r="9" spans="1:4" ht="110.1" customHeight="1" x14ac:dyDescent="0.25">
      <c r="A9" s="25" t="s">
        <v>56</v>
      </c>
      <c r="B9" s="26" t="s">
        <v>57</v>
      </c>
      <c r="C9" s="27" t="s">
        <v>58</v>
      </c>
      <c r="D9" s="28" t="s">
        <v>59</v>
      </c>
    </row>
    <row r="10" spans="1:4" x14ac:dyDescent="0.25">
      <c r="A10" s="4"/>
      <c r="B10" s="4"/>
      <c r="C10" s="4"/>
      <c r="D10" s="4"/>
    </row>
    <row r="11" spans="1:4" ht="110.1" customHeight="1" x14ac:dyDescent="0.25">
      <c r="A11" s="29" t="s">
        <v>60</v>
      </c>
      <c r="B11" s="30" t="s">
        <v>61</v>
      </c>
      <c r="C11" s="31" t="s">
        <v>62</v>
      </c>
      <c r="D11" s="32" t="s">
        <v>63</v>
      </c>
    </row>
    <row r="12" spans="1:4" x14ac:dyDescent="0.25">
      <c r="A12" s="4"/>
      <c r="B12" s="4"/>
      <c r="C12" s="4"/>
      <c r="D12" s="4"/>
    </row>
    <row r="13" spans="1:4" ht="110.1" customHeight="1" x14ac:dyDescent="0.25">
      <c r="A13" s="25" t="s">
        <v>64</v>
      </c>
      <c r="B13" s="26" t="s">
        <v>65</v>
      </c>
      <c r="C13" s="27" t="s">
        <v>66</v>
      </c>
      <c r="D13" s="28" t="s">
        <v>67</v>
      </c>
    </row>
    <row r="14" spans="1:4" x14ac:dyDescent="0.25">
      <c r="A14" s="4"/>
      <c r="B14" s="4"/>
      <c r="C14" s="4"/>
      <c r="D14" s="4"/>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showGridLines="0" workbookViewId="0"/>
  </sheetViews>
  <sheetFormatPr defaultRowHeight="15" x14ac:dyDescent="0.25"/>
  <cols>
    <col min="1" max="1" width="22" customWidth="1"/>
    <col min="2" max="2" width="65" customWidth="1"/>
    <col min="3" max="3" width="20" customWidth="1"/>
  </cols>
  <sheetData>
    <row r="1" spans="1:3" ht="36" customHeight="1" x14ac:dyDescent="0.25">
      <c r="A1" s="47" t="s">
        <v>68</v>
      </c>
      <c r="B1" s="44"/>
      <c r="C1" s="44"/>
    </row>
    <row r="2" spans="1:3" ht="18" customHeight="1" x14ac:dyDescent="0.25">
      <c r="A2" s="43" t="s">
        <v>69</v>
      </c>
      <c r="B2" s="44"/>
      <c r="C2" s="44"/>
    </row>
    <row r="4" spans="1:3" ht="21.95" customHeight="1" x14ac:dyDescent="0.25">
      <c r="A4" s="45" t="s">
        <v>70</v>
      </c>
      <c r="B4" s="42"/>
      <c r="C4" s="42"/>
    </row>
    <row r="5" spans="1:3" ht="18" customHeight="1" x14ac:dyDescent="0.25">
      <c r="A5" s="33" t="s">
        <v>71</v>
      </c>
      <c r="B5" s="34"/>
      <c r="C5" s="4"/>
    </row>
    <row r="6" spans="1:3" ht="176.1" customHeight="1" x14ac:dyDescent="0.25">
      <c r="A6" s="5"/>
      <c r="B6" s="31" t="s">
        <v>72</v>
      </c>
      <c r="C6" s="35" t="s">
        <v>73</v>
      </c>
    </row>
    <row r="7" spans="1:3" ht="21.95" customHeight="1" x14ac:dyDescent="0.25">
      <c r="A7" s="41" t="s">
        <v>74</v>
      </c>
      <c r="B7" s="42"/>
      <c r="C7" s="42"/>
    </row>
    <row r="8" spans="1:3" ht="18" customHeight="1" x14ac:dyDescent="0.25">
      <c r="A8" s="33" t="s">
        <v>75</v>
      </c>
      <c r="B8" s="34"/>
      <c r="C8" s="4"/>
    </row>
    <row r="9" spans="1:3" ht="162.94999999999999" customHeight="1" x14ac:dyDescent="0.25">
      <c r="A9" s="5"/>
      <c r="B9" s="31" t="s">
        <v>76</v>
      </c>
      <c r="C9" s="35" t="s">
        <v>77</v>
      </c>
    </row>
    <row r="10" spans="1:3" ht="18" customHeight="1" x14ac:dyDescent="0.25">
      <c r="A10" s="33" t="s">
        <v>78</v>
      </c>
      <c r="B10" s="34"/>
      <c r="C10" s="4"/>
    </row>
    <row r="11" spans="1:3" ht="98.1" customHeight="1" x14ac:dyDescent="0.25">
      <c r="A11" s="5"/>
      <c r="B11" s="31" t="s">
        <v>79</v>
      </c>
      <c r="C11" s="35" t="s">
        <v>80</v>
      </c>
    </row>
    <row r="12" spans="1:3" ht="21.95" customHeight="1" x14ac:dyDescent="0.25">
      <c r="A12" s="49" t="s">
        <v>81</v>
      </c>
      <c r="B12" s="42"/>
      <c r="C12" s="42"/>
    </row>
    <row r="13" spans="1:3" ht="18" customHeight="1" x14ac:dyDescent="0.25">
      <c r="A13" s="33" t="s">
        <v>82</v>
      </c>
      <c r="B13" s="34"/>
      <c r="C13" s="4"/>
    </row>
    <row r="14" spans="1:3" ht="80.099999999999994" customHeight="1" x14ac:dyDescent="0.25">
      <c r="A14" s="5"/>
      <c r="B14" s="31" t="s">
        <v>83</v>
      </c>
      <c r="C14" s="35" t="s">
        <v>84</v>
      </c>
    </row>
    <row r="15" spans="1:3" ht="18" customHeight="1" x14ac:dyDescent="0.25">
      <c r="A15" s="33" t="s">
        <v>85</v>
      </c>
      <c r="B15" s="34"/>
      <c r="C15" s="4"/>
    </row>
    <row r="16" spans="1:3" ht="80.099999999999994" customHeight="1" x14ac:dyDescent="0.25">
      <c r="A16" s="5"/>
      <c r="B16" s="31" t="s">
        <v>86</v>
      </c>
      <c r="C16" s="35" t="s">
        <v>87</v>
      </c>
    </row>
    <row r="17" spans="1:3" ht="18" customHeight="1" x14ac:dyDescent="0.25">
      <c r="A17" s="33" t="s">
        <v>88</v>
      </c>
      <c r="B17" s="34"/>
      <c r="C17" s="4"/>
    </row>
    <row r="18" spans="1:3" ht="123.95" customHeight="1" x14ac:dyDescent="0.25">
      <c r="A18" s="5"/>
      <c r="B18" s="31" t="s">
        <v>89</v>
      </c>
      <c r="C18" s="35" t="s">
        <v>90</v>
      </c>
    </row>
    <row r="19" spans="1:3" ht="21.95" customHeight="1" x14ac:dyDescent="0.25">
      <c r="A19" s="48" t="s">
        <v>91</v>
      </c>
      <c r="B19" s="42"/>
      <c r="C19" s="42"/>
    </row>
    <row r="20" spans="1:3" ht="18" customHeight="1" x14ac:dyDescent="0.25">
      <c r="A20" s="33" t="s">
        <v>92</v>
      </c>
      <c r="B20" s="34"/>
      <c r="C20" s="4"/>
    </row>
    <row r="21" spans="1:3" ht="111" customHeight="1" x14ac:dyDescent="0.25">
      <c r="A21" s="5"/>
      <c r="B21" s="31" t="s">
        <v>93</v>
      </c>
      <c r="C21" s="35" t="s">
        <v>94</v>
      </c>
    </row>
    <row r="22" spans="1:3" ht="18" customHeight="1" x14ac:dyDescent="0.25">
      <c r="A22" s="33" t="s">
        <v>95</v>
      </c>
      <c r="B22" s="34"/>
      <c r="C22" s="4"/>
    </row>
    <row r="23" spans="1:3" ht="84.95" customHeight="1" x14ac:dyDescent="0.25">
      <c r="A23" s="5"/>
      <c r="B23" s="31" t="s">
        <v>96</v>
      </c>
      <c r="C23" s="35" t="s">
        <v>97</v>
      </c>
    </row>
    <row r="24" spans="1:3" ht="21.95" customHeight="1" x14ac:dyDescent="0.25">
      <c r="A24" s="41" t="s">
        <v>98</v>
      </c>
      <c r="B24" s="42"/>
      <c r="C24" s="42"/>
    </row>
    <row r="25" spans="1:3" ht="18" customHeight="1" x14ac:dyDescent="0.25">
      <c r="A25" s="33" t="s">
        <v>99</v>
      </c>
      <c r="B25" s="34"/>
      <c r="C25" s="4"/>
    </row>
    <row r="26" spans="1:3" ht="111" customHeight="1" x14ac:dyDescent="0.25">
      <c r="A26" s="5"/>
      <c r="B26" s="31" t="s">
        <v>100</v>
      </c>
      <c r="C26" s="35" t="s">
        <v>101</v>
      </c>
    </row>
    <row r="27" spans="1:3" x14ac:dyDescent="0.25">
      <c r="A27" s="4"/>
      <c r="B27" s="4"/>
      <c r="C27" s="4"/>
    </row>
  </sheetData>
  <mergeCells count="7">
    <mergeCell ref="A24:C24"/>
    <mergeCell ref="A2:C2"/>
    <mergeCell ref="A19:C19"/>
    <mergeCell ref="A1:C1"/>
    <mergeCell ref="A7:C7"/>
    <mergeCell ref="A12:C12"/>
    <mergeCell ref="A4:C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
  <sheetViews>
    <sheetView showGridLines="0" workbookViewId="0"/>
  </sheetViews>
  <sheetFormatPr defaultRowHeight="15" x14ac:dyDescent="0.25"/>
  <cols>
    <col min="1" max="1" width="20" customWidth="1"/>
    <col min="2" max="2" width="65" customWidth="1"/>
    <col min="3" max="3" width="20" customWidth="1"/>
  </cols>
  <sheetData>
    <row r="1" spans="1:7" ht="36" customHeight="1" x14ac:dyDescent="0.25">
      <c r="A1" s="47" t="s">
        <v>102</v>
      </c>
      <c r="B1" s="44"/>
      <c r="C1" s="44"/>
    </row>
    <row r="2" spans="1:7" x14ac:dyDescent="0.25">
      <c r="A2" s="43" t="s">
        <v>103</v>
      </c>
      <c r="B2" s="44"/>
      <c r="C2" s="44"/>
    </row>
    <row r="4" spans="1:7" ht="21.95" customHeight="1" x14ac:dyDescent="0.25">
      <c r="A4" s="45" t="s">
        <v>104</v>
      </c>
      <c r="B4" s="42"/>
      <c r="C4" s="42"/>
      <c r="D4" s="4"/>
      <c r="E4" s="4"/>
      <c r="F4" s="4"/>
      <c r="G4" s="4"/>
    </row>
    <row r="5" spans="1:7" ht="177.95" customHeight="1" x14ac:dyDescent="0.25">
      <c r="A5" s="29" t="s">
        <v>105</v>
      </c>
      <c r="B5" s="31" t="s">
        <v>106</v>
      </c>
      <c r="C5" s="35" t="s">
        <v>107</v>
      </c>
      <c r="D5" s="4"/>
      <c r="E5" s="4"/>
      <c r="F5" s="4"/>
      <c r="G5" s="4"/>
    </row>
    <row r="6" spans="1:7" ht="21.95" customHeight="1" x14ac:dyDescent="0.25">
      <c r="A6" s="41" t="s">
        <v>108</v>
      </c>
      <c r="B6" s="42"/>
      <c r="C6" s="42"/>
      <c r="D6" s="4"/>
      <c r="E6" s="4"/>
      <c r="F6" s="4"/>
      <c r="G6" s="4"/>
    </row>
    <row r="7" spans="1:7" ht="30" customHeight="1" x14ac:dyDescent="0.25">
      <c r="A7" s="29" t="s">
        <v>109</v>
      </c>
      <c r="B7" s="31" t="s">
        <v>110</v>
      </c>
      <c r="C7" s="35" t="s">
        <v>111</v>
      </c>
      <c r="D7" s="4"/>
      <c r="E7" s="4"/>
      <c r="F7" s="4"/>
      <c r="G7" s="4"/>
    </row>
    <row r="8" spans="1:7" ht="30" customHeight="1" x14ac:dyDescent="0.25">
      <c r="A8" s="33" t="s">
        <v>112</v>
      </c>
      <c r="B8" s="36" t="s">
        <v>113</v>
      </c>
      <c r="C8" s="37" t="s">
        <v>111</v>
      </c>
      <c r="D8" s="4"/>
      <c r="E8" s="4"/>
      <c r="F8" s="4"/>
      <c r="G8" s="4"/>
    </row>
    <row r="9" spans="1:7" ht="30" customHeight="1" x14ac:dyDescent="0.25">
      <c r="A9" s="29" t="s">
        <v>114</v>
      </c>
      <c r="B9" s="31" t="s">
        <v>115</v>
      </c>
      <c r="C9" s="35" t="s">
        <v>116</v>
      </c>
      <c r="D9" s="4"/>
      <c r="E9" s="4"/>
      <c r="F9" s="4"/>
      <c r="G9" s="4"/>
    </row>
    <row r="10" spans="1:7" ht="30" customHeight="1" x14ac:dyDescent="0.25">
      <c r="A10" s="33" t="s">
        <v>117</v>
      </c>
      <c r="B10" s="36" t="s">
        <v>118</v>
      </c>
      <c r="C10" s="37" t="s">
        <v>119</v>
      </c>
      <c r="D10" s="4"/>
      <c r="E10" s="4"/>
      <c r="F10" s="4"/>
      <c r="G10" s="4"/>
    </row>
    <row r="11" spans="1:7" ht="30" customHeight="1" x14ac:dyDescent="0.25">
      <c r="A11" s="29" t="s">
        <v>120</v>
      </c>
      <c r="B11" s="31" t="s">
        <v>121</v>
      </c>
      <c r="C11" s="35" t="s">
        <v>122</v>
      </c>
      <c r="D11" s="4"/>
      <c r="E11" s="4"/>
      <c r="F11" s="4"/>
      <c r="G11" s="4"/>
    </row>
    <row r="12" spans="1:7" ht="30" customHeight="1" x14ac:dyDescent="0.25">
      <c r="A12" s="33" t="s">
        <v>123</v>
      </c>
      <c r="B12" s="36" t="s">
        <v>124</v>
      </c>
      <c r="C12" s="37" t="s">
        <v>122</v>
      </c>
      <c r="D12" s="4"/>
      <c r="E12" s="4"/>
      <c r="F12" s="4"/>
      <c r="G12" s="4"/>
    </row>
    <row r="13" spans="1:7" ht="30" customHeight="1" x14ac:dyDescent="0.25">
      <c r="A13" s="29" t="s">
        <v>125</v>
      </c>
      <c r="B13" s="31" t="s">
        <v>126</v>
      </c>
      <c r="C13" s="35" t="s">
        <v>127</v>
      </c>
      <c r="D13" s="4"/>
      <c r="E13" s="4"/>
      <c r="F13" s="4"/>
      <c r="G13" s="4"/>
    </row>
    <row r="14" spans="1:7" ht="30" customHeight="1" x14ac:dyDescent="0.25">
      <c r="A14" s="33" t="s">
        <v>128</v>
      </c>
      <c r="B14" s="36" t="s">
        <v>129</v>
      </c>
      <c r="C14" s="37" t="s">
        <v>130</v>
      </c>
      <c r="D14" s="4"/>
      <c r="E14" s="4"/>
      <c r="F14" s="4"/>
      <c r="G14" s="4"/>
    </row>
    <row r="15" spans="1:7" ht="21.95" customHeight="1" x14ac:dyDescent="0.25">
      <c r="A15" s="49" t="s">
        <v>131</v>
      </c>
      <c r="B15" s="42"/>
      <c r="C15" s="42"/>
      <c r="D15" s="4"/>
      <c r="E15" s="4"/>
      <c r="F15" s="4"/>
      <c r="G15" s="4"/>
    </row>
    <row r="16" spans="1:7" ht="30" customHeight="1" x14ac:dyDescent="0.25">
      <c r="A16" s="33" t="s">
        <v>132</v>
      </c>
      <c r="B16" s="36" t="s">
        <v>133</v>
      </c>
      <c r="C16" s="37" t="s">
        <v>134</v>
      </c>
      <c r="D16" s="4"/>
      <c r="E16" s="4"/>
      <c r="F16" s="4"/>
      <c r="G16" s="4"/>
    </row>
    <row r="17" spans="1:7" ht="30" customHeight="1" x14ac:dyDescent="0.25">
      <c r="A17" s="29" t="s">
        <v>135</v>
      </c>
      <c r="B17" s="31" t="s">
        <v>136</v>
      </c>
      <c r="C17" s="35" t="s">
        <v>137</v>
      </c>
      <c r="D17" s="4"/>
      <c r="E17" s="4"/>
      <c r="F17" s="4"/>
      <c r="G17" s="4"/>
    </row>
    <row r="18" spans="1:7" ht="30" customHeight="1" x14ac:dyDescent="0.25">
      <c r="A18" s="33" t="s">
        <v>138</v>
      </c>
      <c r="B18" s="36" t="s">
        <v>139</v>
      </c>
      <c r="C18" s="37" t="s">
        <v>140</v>
      </c>
      <c r="D18" s="4"/>
      <c r="E18" s="4"/>
      <c r="F18" s="4"/>
      <c r="G18" s="4"/>
    </row>
    <row r="19" spans="1:7" ht="30" customHeight="1" x14ac:dyDescent="0.25">
      <c r="A19" s="29" t="s">
        <v>141</v>
      </c>
      <c r="B19" s="31" t="s">
        <v>142</v>
      </c>
      <c r="C19" s="35" t="s">
        <v>143</v>
      </c>
      <c r="D19" s="4"/>
      <c r="E19" s="4"/>
      <c r="F19" s="4"/>
      <c r="G19" s="4"/>
    </row>
    <row r="20" spans="1:7" ht="30" customHeight="1" x14ac:dyDescent="0.25">
      <c r="A20" s="33" t="s">
        <v>144</v>
      </c>
      <c r="B20" s="36" t="s">
        <v>145</v>
      </c>
      <c r="C20" s="37" t="s">
        <v>146</v>
      </c>
      <c r="D20" s="4"/>
      <c r="E20" s="4"/>
      <c r="F20" s="4"/>
      <c r="G20" s="4"/>
    </row>
    <row r="21" spans="1:7" ht="30" customHeight="1" x14ac:dyDescent="0.25">
      <c r="A21" s="29" t="s">
        <v>147</v>
      </c>
      <c r="B21" s="31" t="s">
        <v>148</v>
      </c>
      <c r="C21" s="35" t="s">
        <v>149</v>
      </c>
      <c r="D21" s="4"/>
      <c r="E21" s="4"/>
      <c r="F21" s="4"/>
      <c r="G21" s="4"/>
    </row>
    <row r="22" spans="1:7" x14ac:dyDescent="0.25">
      <c r="A22" s="4"/>
      <c r="B22" s="4"/>
      <c r="C22" s="4"/>
      <c r="D22" s="4"/>
      <c r="E22" s="4"/>
      <c r="F22" s="4"/>
      <c r="G22" s="4"/>
    </row>
    <row r="23" spans="1:7" x14ac:dyDescent="0.25">
      <c r="A23" s="50" t="s">
        <v>150</v>
      </c>
      <c r="B23" s="42"/>
      <c r="C23" s="42"/>
      <c r="D23" s="4"/>
      <c r="E23" s="4"/>
      <c r="F23" s="4"/>
      <c r="G23" s="4"/>
    </row>
    <row r="24" spans="1:7" ht="20.100000000000001" customHeight="1" x14ac:dyDescent="0.25">
      <c r="A24" s="38" t="s">
        <v>151</v>
      </c>
      <c r="B24" s="38" t="s">
        <v>152</v>
      </c>
      <c r="C24" s="38" t="s">
        <v>153</v>
      </c>
      <c r="D24" s="38" t="s">
        <v>154</v>
      </c>
      <c r="E24" s="38" t="s">
        <v>155</v>
      </c>
      <c r="F24" s="38" t="s">
        <v>156</v>
      </c>
      <c r="G24" s="38" t="s">
        <v>157</v>
      </c>
    </row>
    <row r="25" spans="1:7" ht="18" customHeight="1" x14ac:dyDescent="0.25">
      <c r="A25" s="39"/>
      <c r="B25" s="39"/>
      <c r="C25" s="39"/>
      <c r="D25" s="39"/>
      <c r="E25" s="39"/>
      <c r="F25" s="39"/>
      <c r="G25" s="39"/>
    </row>
    <row r="26" spans="1:7" ht="18" customHeight="1" x14ac:dyDescent="0.25">
      <c r="A26" s="40"/>
      <c r="B26" s="40"/>
      <c r="C26" s="40"/>
      <c r="D26" s="40"/>
      <c r="E26" s="40"/>
      <c r="F26" s="40"/>
      <c r="G26" s="40"/>
    </row>
    <row r="27" spans="1:7" ht="18" customHeight="1" x14ac:dyDescent="0.25">
      <c r="A27" s="39"/>
      <c r="B27" s="39"/>
      <c r="C27" s="39"/>
      <c r="D27" s="39"/>
      <c r="E27" s="39"/>
      <c r="F27" s="39"/>
      <c r="G27" s="39"/>
    </row>
    <row r="28" spans="1:7" ht="18" customHeight="1" x14ac:dyDescent="0.25">
      <c r="A28" s="40"/>
      <c r="B28" s="40"/>
      <c r="C28" s="40"/>
      <c r="D28" s="40"/>
      <c r="E28" s="40"/>
      <c r="F28" s="40"/>
      <c r="G28" s="40"/>
    </row>
    <row r="29" spans="1:7" ht="18" customHeight="1" x14ac:dyDescent="0.25">
      <c r="A29" s="39"/>
      <c r="B29" s="39"/>
      <c r="C29" s="39"/>
      <c r="D29" s="39"/>
      <c r="E29" s="39"/>
      <c r="F29" s="39"/>
      <c r="G29" s="39"/>
    </row>
    <row r="30" spans="1:7" ht="18" customHeight="1" x14ac:dyDescent="0.25">
      <c r="A30" s="40"/>
      <c r="B30" s="40"/>
      <c r="C30" s="40"/>
      <c r="D30" s="40"/>
      <c r="E30" s="40"/>
      <c r="F30" s="40"/>
      <c r="G30" s="40"/>
    </row>
    <row r="31" spans="1:7" ht="18" customHeight="1" x14ac:dyDescent="0.25">
      <c r="A31" s="39"/>
      <c r="B31" s="39"/>
      <c r="C31" s="39"/>
      <c r="D31" s="39"/>
      <c r="E31" s="39"/>
      <c r="F31" s="39"/>
      <c r="G31" s="39"/>
    </row>
    <row r="32" spans="1:7" ht="18" customHeight="1" x14ac:dyDescent="0.25">
      <c r="A32" s="40"/>
      <c r="B32" s="40"/>
      <c r="C32" s="40"/>
      <c r="D32" s="40"/>
      <c r="E32" s="40"/>
      <c r="F32" s="40"/>
      <c r="G32" s="40"/>
    </row>
    <row r="33" spans="1:7" ht="18" customHeight="1" x14ac:dyDescent="0.25">
      <c r="A33" s="39"/>
      <c r="B33" s="39"/>
      <c r="C33" s="39"/>
      <c r="D33" s="39"/>
      <c r="E33" s="39"/>
      <c r="F33" s="39"/>
      <c r="G33" s="39"/>
    </row>
    <row r="34" spans="1:7" ht="18" customHeight="1" x14ac:dyDescent="0.25">
      <c r="A34" s="40"/>
      <c r="B34" s="40"/>
      <c r="C34" s="40"/>
      <c r="D34" s="40"/>
      <c r="E34" s="40"/>
      <c r="F34" s="40"/>
      <c r="G34" s="40"/>
    </row>
    <row r="35" spans="1:7" x14ac:dyDescent="0.25">
      <c r="A35" s="4"/>
      <c r="B35" s="4"/>
      <c r="C35" s="4"/>
      <c r="D35" s="4"/>
      <c r="E35" s="4"/>
      <c r="F35" s="4"/>
      <c r="G35" s="4"/>
    </row>
  </sheetData>
  <mergeCells count="6">
    <mergeCell ref="A1:C1"/>
    <mergeCell ref="A23:C23"/>
    <mergeCell ref="A6:C6"/>
    <mergeCell ref="A15:C15"/>
    <mergeCell ref="A4:C4"/>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showGridLines="0" workbookViewId="0"/>
  </sheetViews>
  <sheetFormatPr defaultRowHeight="15" x14ac:dyDescent="0.25"/>
  <cols>
    <col min="1" max="1" width="22" customWidth="1"/>
    <col min="2" max="2" width="65" customWidth="1"/>
    <col min="3" max="3" width="20" customWidth="1"/>
  </cols>
  <sheetData>
    <row r="1" spans="1:7" ht="36" customHeight="1" x14ac:dyDescent="0.25">
      <c r="A1" s="47" t="s">
        <v>158</v>
      </c>
      <c r="B1" s="44"/>
      <c r="C1" s="44"/>
    </row>
    <row r="2" spans="1:7" x14ac:dyDescent="0.25">
      <c r="A2" s="43" t="s">
        <v>159</v>
      </c>
      <c r="B2" s="44"/>
      <c r="C2" s="44"/>
    </row>
    <row r="4" spans="1:7" ht="21.95" customHeight="1" x14ac:dyDescent="0.25">
      <c r="A4" s="45" t="s">
        <v>160</v>
      </c>
      <c r="B4" s="42"/>
      <c r="C4" s="42"/>
      <c r="D4" s="4"/>
      <c r="E4" s="4"/>
      <c r="F4" s="4"/>
      <c r="G4" s="4"/>
    </row>
    <row r="5" spans="1:7" ht="30" customHeight="1" x14ac:dyDescent="0.25">
      <c r="A5" s="29" t="s">
        <v>161</v>
      </c>
      <c r="B5" s="31" t="s">
        <v>162</v>
      </c>
      <c r="C5" s="35" t="s">
        <v>163</v>
      </c>
      <c r="D5" s="4"/>
      <c r="E5" s="4"/>
      <c r="F5" s="4"/>
      <c r="G5" s="4"/>
    </row>
    <row r="6" spans="1:7" ht="126" customHeight="1" x14ac:dyDescent="0.25">
      <c r="A6" s="33" t="s">
        <v>164</v>
      </c>
      <c r="B6" s="36" t="s">
        <v>165</v>
      </c>
      <c r="C6" s="37" t="s">
        <v>166</v>
      </c>
      <c r="D6" s="4"/>
      <c r="E6" s="4"/>
      <c r="F6" s="4"/>
      <c r="G6" s="4"/>
    </row>
    <row r="7" spans="1:7" ht="74.099999999999994" customHeight="1" x14ac:dyDescent="0.25">
      <c r="A7" s="29" t="s">
        <v>167</v>
      </c>
      <c r="B7" s="31" t="s">
        <v>168</v>
      </c>
      <c r="C7" s="35" t="s">
        <v>169</v>
      </c>
      <c r="D7" s="4"/>
      <c r="E7" s="4"/>
      <c r="F7" s="4"/>
      <c r="G7" s="4"/>
    </row>
    <row r="8" spans="1:7" ht="21.95" customHeight="1" x14ac:dyDescent="0.25">
      <c r="A8" s="41" t="s">
        <v>170</v>
      </c>
      <c r="B8" s="42"/>
      <c r="C8" s="42"/>
      <c r="D8" s="4"/>
      <c r="E8" s="4"/>
      <c r="F8" s="4"/>
      <c r="G8" s="4"/>
    </row>
    <row r="9" spans="1:7" ht="35.1" customHeight="1" x14ac:dyDescent="0.25">
      <c r="A9" s="29" t="s">
        <v>171</v>
      </c>
      <c r="B9" s="31" t="s">
        <v>172</v>
      </c>
      <c r="C9" s="35" t="s">
        <v>173</v>
      </c>
      <c r="D9" s="4"/>
      <c r="E9" s="4"/>
      <c r="F9" s="4"/>
      <c r="G9" s="4"/>
    </row>
    <row r="10" spans="1:7" ht="35.1" customHeight="1" x14ac:dyDescent="0.25">
      <c r="A10" s="33" t="s">
        <v>174</v>
      </c>
      <c r="B10" s="36" t="s">
        <v>175</v>
      </c>
      <c r="C10" s="37" t="s">
        <v>176</v>
      </c>
      <c r="D10" s="4"/>
      <c r="E10" s="4"/>
      <c r="F10" s="4"/>
      <c r="G10" s="4"/>
    </row>
    <row r="11" spans="1:7" ht="60.95" customHeight="1" x14ac:dyDescent="0.25">
      <c r="A11" s="29" t="s">
        <v>177</v>
      </c>
      <c r="B11" s="31" t="s">
        <v>178</v>
      </c>
      <c r="C11" s="35" t="s">
        <v>179</v>
      </c>
      <c r="D11" s="4"/>
      <c r="E11" s="4"/>
      <c r="F11" s="4"/>
      <c r="G11" s="4"/>
    </row>
    <row r="12" spans="1:7" ht="99.95" customHeight="1" x14ac:dyDescent="0.25">
      <c r="A12" s="33" t="s">
        <v>180</v>
      </c>
      <c r="B12" s="36" t="s">
        <v>181</v>
      </c>
      <c r="C12" s="37" t="s">
        <v>182</v>
      </c>
      <c r="D12" s="4"/>
      <c r="E12" s="4"/>
      <c r="F12" s="4"/>
      <c r="G12" s="4"/>
    </row>
    <row r="13" spans="1:7" ht="21.95" customHeight="1" x14ac:dyDescent="0.25">
      <c r="A13" s="49" t="s">
        <v>183</v>
      </c>
      <c r="B13" s="42"/>
      <c r="C13" s="42"/>
      <c r="D13" s="4"/>
      <c r="E13" s="4"/>
      <c r="F13" s="4"/>
      <c r="G13" s="4"/>
    </row>
    <row r="14" spans="1:7" ht="35.1" customHeight="1" x14ac:dyDescent="0.25">
      <c r="A14" s="33" t="s">
        <v>184</v>
      </c>
      <c r="B14" s="36" t="s">
        <v>185</v>
      </c>
      <c r="C14" s="37" t="s">
        <v>186</v>
      </c>
      <c r="D14" s="4"/>
      <c r="E14" s="4"/>
      <c r="F14" s="4"/>
      <c r="G14" s="4"/>
    </row>
    <row r="15" spans="1:7" ht="35.1" customHeight="1" x14ac:dyDescent="0.25">
      <c r="A15" s="29" t="s">
        <v>187</v>
      </c>
      <c r="B15" s="31" t="s">
        <v>188</v>
      </c>
      <c r="C15" s="35" t="s">
        <v>189</v>
      </c>
      <c r="D15" s="4"/>
      <c r="E15" s="4"/>
      <c r="F15" s="4"/>
      <c r="G15" s="4"/>
    </row>
    <row r="16" spans="1:7" ht="35.1" customHeight="1" x14ac:dyDescent="0.25">
      <c r="A16" s="33" t="s">
        <v>190</v>
      </c>
      <c r="B16" s="36" t="s">
        <v>191</v>
      </c>
      <c r="C16" s="37" t="s">
        <v>192</v>
      </c>
      <c r="D16" s="4"/>
      <c r="E16" s="4"/>
      <c r="F16" s="4"/>
      <c r="G16" s="4"/>
    </row>
    <row r="17" spans="1:7" x14ac:dyDescent="0.25">
      <c r="A17" s="4"/>
      <c r="B17" s="4"/>
      <c r="C17" s="4"/>
      <c r="D17" s="4"/>
      <c r="E17" s="4"/>
      <c r="F17" s="4"/>
      <c r="G17" s="4"/>
    </row>
    <row r="18" spans="1:7" x14ac:dyDescent="0.25">
      <c r="A18" s="50" t="s">
        <v>193</v>
      </c>
      <c r="B18" s="42"/>
      <c r="C18" s="42"/>
      <c r="D18" s="4"/>
      <c r="E18" s="4"/>
      <c r="F18" s="4"/>
      <c r="G18" s="4"/>
    </row>
    <row r="19" spans="1:7" ht="20.100000000000001" customHeight="1" x14ac:dyDescent="0.25">
      <c r="A19" s="38" t="s">
        <v>194</v>
      </c>
      <c r="B19" s="38" t="s">
        <v>195</v>
      </c>
      <c r="C19" s="38" t="s">
        <v>196</v>
      </c>
      <c r="D19" s="38" t="s">
        <v>197</v>
      </c>
      <c r="E19" s="38" t="s">
        <v>198</v>
      </c>
      <c r="F19" s="38" t="s">
        <v>199</v>
      </c>
      <c r="G19" s="38" t="s">
        <v>200</v>
      </c>
    </row>
    <row r="20" spans="1:7" ht="18" customHeight="1" x14ac:dyDescent="0.25">
      <c r="A20" s="39"/>
      <c r="B20" s="39"/>
      <c r="C20" s="39"/>
      <c r="D20" s="39"/>
      <c r="E20" s="39"/>
      <c r="F20" s="39"/>
      <c r="G20" s="39"/>
    </row>
    <row r="21" spans="1:7" ht="18" customHeight="1" x14ac:dyDescent="0.25">
      <c r="A21" s="40"/>
      <c r="B21" s="40"/>
      <c r="C21" s="40"/>
      <c r="D21" s="40"/>
      <c r="E21" s="40"/>
      <c r="F21" s="40"/>
      <c r="G21" s="40"/>
    </row>
    <row r="22" spans="1:7" ht="18" customHeight="1" x14ac:dyDescent="0.25">
      <c r="A22" s="39"/>
      <c r="B22" s="39"/>
      <c r="C22" s="39"/>
      <c r="D22" s="39"/>
      <c r="E22" s="39"/>
      <c r="F22" s="39"/>
      <c r="G22" s="39"/>
    </row>
    <row r="23" spans="1:7" ht="18" customHeight="1" x14ac:dyDescent="0.25">
      <c r="A23" s="40"/>
      <c r="B23" s="40"/>
      <c r="C23" s="40"/>
      <c r="D23" s="40"/>
      <c r="E23" s="40"/>
      <c r="F23" s="40"/>
      <c r="G23" s="40"/>
    </row>
    <row r="24" spans="1:7" ht="18" customHeight="1" x14ac:dyDescent="0.25">
      <c r="A24" s="39"/>
      <c r="B24" s="39"/>
      <c r="C24" s="39"/>
      <c r="D24" s="39"/>
      <c r="E24" s="39"/>
      <c r="F24" s="39"/>
      <c r="G24" s="39"/>
    </row>
    <row r="25" spans="1:7" ht="18" customHeight="1" x14ac:dyDescent="0.25">
      <c r="A25" s="40"/>
      <c r="B25" s="40"/>
      <c r="C25" s="40"/>
      <c r="D25" s="40"/>
      <c r="E25" s="40"/>
      <c r="F25" s="40"/>
      <c r="G25" s="40"/>
    </row>
    <row r="26" spans="1:7" ht="18" customHeight="1" x14ac:dyDescent="0.25">
      <c r="A26" s="39"/>
      <c r="B26" s="39"/>
      <c r="C26" s="39"/>
      <c r="D26" s="39"/>
      <c r="E26" s="39"/>
      <c r="F26" s="39"/>
      <c r="G26" s="39"/>
    </row>
    <row r="27" spans="1:7" ht="18" customHeight="1" x14ac:dyDescent="0.25">
      <c r="A27" s="40"/>
      <c r="B27" s="40"/>
      <c r="C27" s="40"/>
      <c r="D27" s="40"/>
      <c r="E27" s="40"/>
      <c r="F27" s="40"/>
      <c r="G27" s="40"/>
    </row>
    <row r="28" spans="1:7" ht="18" customHeight="1" x14ac:dyDescent="0.25">
      <c r="A28" s="39"/>
      <c r="B28" s="39"/>
      <c r="C28" s="39"/>
      <c r="D28" s="39"/>
      <c r="E28" s="39"/>
      <c r="F28" s="39"/>
      <c r="G28" s="39"/>
    </row>
    <row r="29" spans="1:7" ht="18" customHeight="1" x14ac:dyDescent="0.25">
      <c r="A29" s="40"/>
      <c r="B29" s="40"/>
      <c r="C29" s="40"/>
      <c r="D29" s="40"/>
      <c r="E29" s="40"/>
      <c r="F29" s="40"/>
      <c r="G29" s="40"/>
    </row>
    <row r="30" spans="1:7" ht="18" customHeight="1" x14ac:dyDescent="0.25">
      <c r="A30" s="39"/>
      <c r="B30" s="39"/>
      <c r="C30" s="39"/>
      <c r="D30" s="39"/>
      <c r="E30" s="39"/>
      <c r="F30" s="39"/>
      <c r="G30" s="39"/>
    </row>
    <row r="31" spans="1:7" ht="18" customHeight="1" x14ac:dyDescent="0.25">
      <c r="A31" s="40"/>
      <c r="B31" s="40"/>
      <c r="C31" s="40"/>
      <c r="D31" s="40"/>
      <c r="E31" s="40"/>
      <c r="F31" s="40"/>
      <c r="G31" s="40"/>
    </row>
    <row r="32" spans="1:7" ht="18" customHeight="1" x14ac:dyDescent="0.25">
      <c r="A32" s="39"/>
      <c r="B32" s="39"/>
      <c r="C32" s="39"/>
      <c r="D32" s="39"/>
      <c r="E32" s="39"/>
      <c r="F32" s="39"/>
      <c r="G32" s="39"/>
    </row>
    <row r="33" spans="1:7" ht="18" customHeight="1" x14ac:dyDescent="0.25">
      <c r="A33" s="40"/>
      <c r="B33" s="40"/>
      <c r="C33" s="40"/>
      <c r="D33" s="40"/>
      <c r="E33" s="40"/>
      <c r="F33" s="40"/>
      <c r="G33" s="40"/>
    </row>
    <row r="34" spans="1:7" ht="18" customHeight="1" x14ac:dyDescent="0.25">
      <c r="A34" s="39"/>
      <c r="B34" s="39"/>
      <c r="C34" s="39"/>
      <c r="D34" s="39"/>
      <c r="E34" s="39"/>
      <c r="F34" s="39"/>
      <c r="G34" s="39"/>
    </row>
    <row r="35" spans="1:7" x14ac:dyDescent="0.25">
      <c r="A35" s="4"/>
      <c r="B35" s="4"/>
      <c r="C35" s="4"/>
      <c r="D35" s="4"/>
      <c r="E35" s="4"/>
      <c r="F35" s="4"/>
      <c r="G35" s="4"/>
    </row>
  </sheetData>
  <mergeCells count="6">
    <mergeCell ref="A13:C13"/>
    <mergeCell ref="A1:C1"/>
    <mergeCell ref="A8:C8"/>
    <mergeCell ref="A18:C18"/>
    <mergeCell ref="A4:C4"/>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
  <sheetViews>
    <sheetView showGridLines="0" workbookViewId="0"/>
  </sheetViews>
  <sheetFormatPr defaultRowHeight="15" x14ac:dyDescent="0.25"/>
  <cols>
    <col min="1" max="1" width="22" customWidth="1"/>
    <col min="2" max="2" width="55" customWidth="1"/>
    <col min="3" max="4" width="18" customWidth="1"/>
  </cols>
  <sheetData>
    <row r="1" spans="1:4" ht="36" customHeight="1" x14ac:dyDescent="0.25">
      <c r="A1" s="47" t="s">
        <v>201</v>
      </c>
      <c r="B1" s="44"/>
      <c r="C1" s="44"/>
      <c r="D1" s="44"/>
    </row>
    <row r="2" spans="1:4" x14ac:dyDescent="0.25">
      <c r="A2" s="43" t="s">
        <v>202</v>
      </c>
      <c r="B2" s="44"/>
      <c r="C2" s="44"/>
      <c r="D2" s="44"/>
    </row>
    <row r="4" spans="1:4" ht="21.95" customHeight="1" x14ac:dyDescent="0.25">
      <c r="A4" s="45" t="s">
        <v>203</v>
      </c>
      <c r="B4" s="42"/>
      <c r="C4" s="42"/>
      <c r="D4" s="42"/>
    </row>
    <row r="5" spans="1:4" ht="30" customHeight="1" x14ac:dyDescent="0.25">
      <c r="A5" s="29" t="s">
        <v>204</v>
      </c>
      <c r="B5" s="31" t="s">
        <v>205</v>
      </c>
      <c r="C5" s="53" t="s">
        <v>206</v>
      </c>
      <c r="D5" s="42"/>
    </row>
    <row r="6" spans="1:4" ht="30" customHeight="1" x14ac:dyDescent="0.25">
      <c r="A6" s="33" t="s">
        <v>207</v>
      </c>
      <c r="B6" s="36" t="s">
        <v>208</v>
      </c>
      <c r="C6" s="51" t="s">
        <v>209</v>
      </c>
      <c r="D6" s="42"/>
    </row>
    <row r="7" spans="1:4" ht="30" customHeight="1" x14ac:dyDescent="0.25">
      <c r="A7" s="29" t="s">
        <v>210</v>
      </c>
      <c r="B7" s="31" t="s">
        <v>211</v>
      </c>
      <c r="C7" s="53" t="s">
        <v>212</v>
      </c>
      <c r="D7" s="42"/>
    </row>
    <row r="8" spans="1:4" ht="30" customHeight="1" x14ac:dyDescent="0.25">
      <c r="A8" s="33" t="s">
        <v>213</v>
      </c>
      <c r="B8" s="36" t="s">
        <v>214</v>
      </c>
      <c r="C8" s="51" t="s">
        <v>209</v>
      </c>
      <c r="D8" s="42"/>
    </row>
    <row r="9" spans="1:4" ht="21.95" customHeight="1" x14ac:dyDescent="0.25">
      <c r="A9" s="55" t="s">
        <v>215</v>
      </c>
      <c r="B9" s="42"/>
      <c r="C9" s="42"/>
      <c r="D9" s="42"/>
    </row>
    <row r="10" spans="1:4" ht="35.1" customHeight="1" x14ac:dyDescent="0.25">
      <c r="A10" s="33" t="s">
        <v>216</v>
      </c>
      <c r="B10" s="36" t="s">
        <v>217</v>
      </c>
      <c r="C10" s="51" t="s">
        <v>218</v>
      </c>
      <c r="D10" s="42"/>
    </row>
    <row r="11" spans="1:4" ht="138.94999999999999" customHeight="1" x14ac:dyDescent="0.25">
      <c r="A11" s="29" t="s">
        <v>219</v>
      </c>
      <c r="B11" s="31" t="s">
        <v>220</v>
      </c>
      <c r="C11" s="53" t="s">
        <v>221</v>
      </c>
      <c r="D11" s="42"/>
    </row>
    <row r="12" spans="1:4" ht="35.1" customHeight="1" x14ac:dyDescent="0.25">
      <c r="A12" s="33" t="s">
        <v>222</v>
      </c>
      <c r="B12" s="36" t="s">
        <v>223</v>
      </c>
      <c r="C12" s="51" t="s">
        <v>137</v>
      </c>
      <c r="D12" s="42"/>
    </row>
    <row r="13" spans="1:4" ht="21.95" customHeight="1" x14ac:dyDescent="0.25">
      <c r="A13" s="54" t="s">
        <v>224</v>
      </c>
      <c r="B13" s="42"/>
      <c r="C13" s="42"/>
      <c r="D13" s="42"/>
    </row>
    <row r="14" spans="1:4" ht="35.1" customHeight="1" x14ac:dyDescent="0.25">
      <c r="A14" s="33" t="s">
        <v>216</v>
      </c>
      <c r="B14" s="36" t="s">
        <v>225</v>
      </c>
      <c r="C14" s="51" t="s">
        <v>218</v>
      </c>
      <c r="D14" s="42"/>
    </row>
    <row r="15" spans="1:4" ht="126" customHeight="1" x14ac:dyDescent="0.25">
      <c r="A15" s="29" t="s">
        <v>219</v>
      </c>
      <c r="B15" s="31" t="s">
        <v>226</v>
      </c>
      <c r="C15" s="53" t="s">
        <v>221</v>
      </c>
      <c r="D15" s="42"/>
    </row>
    <row r="16" spans="1:4" ht="30" customHeight="1" x14ac:dyDescent="0.25">
      <c r="A16" s="33" t="s">
        <v>227</v>
      </c>
      <c r="B16" s="36" t="s">
        <v>228</v>
      </c>
      <c r="C16" s="51" t="s">
        <v>229</v>
      </c>
      <c r="D16" s="42"/>
    </row>
    <row r="17" spans="1:4" ht="21.95" customHeight="1" x14ac:dyDescent="0.25">
      <c r="A17" s="52" t="s">
        <v>230</v>
      </c>
      <c r="B17" s="42"/>
      <c r="C17" s="42"/>
      <c r="D17" s="42"/>
    </row>
    <row r="18" spans="1:4" ht="30" customHeight="1" x14ac:dyDescent="0.25">
      <c r="A18" s="33" t="s">
        <v>216</v>
      </c>
      <c r="B18" s="36" t="s">
        <v>231</v>
      </c>
      <c r="C18" s="51" t="s">
        <v>232</v>
      </c>
      <c r="D18" s="42"/>
    </row>
    <row r="19" spans="1:4" ht="87" customHeight="1" x14ac:dyDescent="0.25">
      <c r="A19" s="29" t="s">
        <v>219</v>
      </c>
      <c r="B19" s="31" t="s">
        <v>233</v>
      </c>
      <c r="C19" s="53" t="s">
        <v>234</v>
      </c>
      <c r="D19" s="42"/>
    </row>
    <row r="20" spans="1:4" ht="30" customHeight="1" x14ac:dyDescent="0.25">
      <c r="A20" s="33" t="s">
        <v>235</v>
      </c>
      <c r="B20" s="36" t="s">
        <v>236</v>
      </c>
      <c r="C20" s="51" t="s">
        <v>237</v>
      </c>
      <c r="D20" s="42"/>
    </row>
    <row r="21" spans="1:4" ht="21.95" customHeight="1" x14ac:dyDescent="0.25">
      <c r="A21" s="56" t="s">
        <v>238</v>
      </c>
      <c r="B21" s="42"/>
      <c r="C21" s="42"/>
      <c r="D21" s="42"/>
    </row>
    <row r="22" spans="1:4" ht="30" customHeight="1" x14ac:dyDescent="0.25">
      <c r="A22" s="33" t="s">
        <v>216</v>
      </c>
      <c r="B22" s="36" t="s">
        <v>239</v>
      </c>
      <c r="C22" s="51" t="s">
        <v>240</v>
      </c>
      <c r="D22" s="42"/>
    </row>
    <row r="23" spans="1:4" ht="126" customHeight="1" x14ac:dyDescent="0.25">
      <c r="A23" s="29" t="s">
        <v>219</v>
      </c>
      <c r="B23" s="31" t="s">
        <v>241</v>
      </c>
      <c r="C23" s="53" t="s">
        <v>242</v>
      </c>
      <c r="D23" s="42"/>
    </row>
    <row r="24" spans="1:4" ht="21.95" customHeight="1" x14ac:dyDescent="0.25">
      <c r="A24" s="41" t="s">
        <v>243</v>
      </c>
      <c r="B24" s="42"/>
      <c r="C24" s="42"/>
      <c r="D24" s="42"/>
    </row>
    <row r="25" spans="1:4" ht="30" customHeight="1" x14ac:dyDescent="0.25">
      <c r="A25" s="29" t="s">
        <v>216</v>
      </c>
      <c r="B25" s="31" t="s">
        <v>244</v>
      </c>
      <c r="C25" s="53" t="s">
        <v>245</v>
      </c>
      <c r="D25" s="42"/>
    </row>
    <row r="26" spans="1:4" ht="35.1" customHeight="1" x14ac:dyDescent="0.25">
      <c r="A26" s="33" t="s">
        <v>219</v>
      </c>
      <c r="B26" s="36" t="s">
        <v>246</v>
      </c>
      <c r="C26" s="51" t="s">
        <v>247</v>
      </c>
      <c r="D26" s="42"/>
    </row>
    <row r="27" spans="1:4" ht="30" customHeight="1" x14ac:dyDescent="0.25">
      <c r="A27" s="29" t="s">
        <v>235</v>
      </c>
      <c r="B27" s="31" t="s">
        <v>248</v>
      </c>
      <c r="C27" s="53" t="s">
        <v>249</v>
      </c>
      <c r="D27" s="42"/>
    </row>
    <row r="28" spans="1:4" ht="21.95" customHeight="1" x14ac:dyDescent="0.25">
      <c r="A28" s="48" t="s">
        <v>250</v>
      </c>
      <c r="B28" s="42"/>
      <c r="C28" s="42"/>
      <c r="D28" s="42"/>
    </row>
    <row r="29" spans="1:4" ht="30" customHeight="1" x14ac:dyDescent="0.25">
      <c r="A29" s="29" t="s">
        <v>251</v>
      </c>
      <c r="B29" s="31" t="s">
        <v>252</v>
      </c>
      <c r="C29" s="53" t="s">
        <v>253</v>
      </c>
      <c r="D29" s="42"/>
    </row>
    <row r="30" spans="1:4" ht="30" customHeight="1" x14ac:dyDescent="0.25">
      <c r="A30" s="33" t="s">
        <v>254</v>
      </c>
      <c r="B30" s="36" t="s">
        <v>255</v>
      </c>
      <c r="C30" s="51" t="s">
        <v>256</v>
      </c>
      <c r="D30" s="42"/>
    </row>
    <row r="31" spans="1:4" ht="30" customHeight="1" x14ac:dyDescent="0.25">
      <c r="A31" s="29" t="s">
        <v>257</v>
      </c>
      <c r="B31" s="31" t="s">
        <v>258</v>
      </c>
      <c r="C31" s="53" t="s">
        <v>259</v>
      </c>
      <c r="D31" s="42"/>
    </row>
    <row r="32" spans="1:4" ht="30" customHeight="1" x14ac:dyDescent="0.25">
      <c r="A32" s="33" t="s">
        <v>260</v>
      </c>
      <c r="B32" s="36" t="s">
        <v>261</v>
      </c>
      <c r="C32" s="51" t="s">
        <v>262</v>
      </c>
      <c r="D32" s="42"/>
    </row>
    <row r="33" spans="1:4" ht="30" customHeight="1" x14ac:dyDescent="0.25">
      <c r="A33" s="29" t="s">
        <v>263</v>
      </c>
      <c r="B33" s="31" t="s">
        <v>264</v>
      </c>
      <c r="C33" s="53" t="s">
        <v>265</v>
      </c>
      <c r="D33" s="42"/>
    </row>
    <row r="34" spans="1:4" ht="30" customHeight="1" x14ac:dyDescent="0.25">
      <c r="A34" s="33" t="s">
        <v>266</v>
      </c>
      <c r="B34" s="36" t="s">
        <v>267</v>
      </c>
      <c r="C34" s="51" t="s">
        <v>268</v>
      </c>
      <c r="D34" s="42"/>
    </row>
    <row r="35" spans="1:4" x14ac:dyDescent="0.25">
      <c r="A35" s="4"/>
      <c r="B35" s="4"/>
      <c r="C35" s="4"/>
      <c r="D35" s="4"/>
    </row>
  </sheetData>
  <mergeCells count="33">
    <mergeCell ref="A1:D1"/>
    <mergeCell ref="C12:D12"/>
    <mergeCell ref="C11:D11"/>
    <mergeCell ref="C27:D27"/>
    <mergeCell ref="C23:D23"/>
    <mergeCell ref="C8:D8"/>
    <mergeCell ref="C7:D7"/>
    <mergeCell ref="C19:D19"/>
    <mergeCell ref="A21:D21"/>
    <mergeCell ref="A2:D2"/>
    <mergeCell ref="C18:D18"/>
    <mergeCell ref="A4:D4"/>
    <mergeCell ref="C5:D5"/>
    <mergeCell ref="C14:D14"/>
    <mergeCell ref="C26:D26"/>
    <mergeCell ref="A28:D28"/>
    <mergeCell ref="A13:D13"/>
    <mergeCell ref="C20:D20"/>
    <mergeCell ref="A9:D9"/>
    <mergeCell ref="C10:D10"/>
    <mergeCell ref="C16:D16"/>
    <mergeCell ref="C25:D25"/>
    <mergeCell ref="C22:D22"/>
    <mergeCell ref="A24:D24"/>
    <mergeCell ref="C34:D34"/>
    <mergeCell ref="A17:D17"/>
    <mergeCell ref="C6:D6"/>
    <mergeCell ref="C30:D30"/>
    <mergeCell ref="C15:D15"/>
    <mergeCell ref="C33:D33"/>
    <mergeCell ref="C29:D29"/>
    <mergeCell ref="C31:D31"/>
    <mergeCell ref="C32:D3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showGridLines="0" workbookViewId="0"/>
  </sheetViews>
  <sheetFormatPr defaultRowHeight="15" x14ac:dyDescent="0.25"/>
  <cols>
    <col min="1" max="1" width="22" customWidth="1"/>
    <col min="2" max="2" width="55" customWidth="1"/>
    <col min="3" max="3" width="20" customWidth="1"/>
  </cols>
  <sheetData>
    <row r="1" spans="1:8" ht="36" customHeight="1" x14ac:dyDescent="0.25">
      <c r="A1" s="47" t="s">
        <v>269</v>
      </c>
      <c r="B1" s="44"/>
      <c r="C1" s="44"/>
    </row>
    <row r="2" spans="1:8" x14ac:dyDescent="0.25">
      <c r="A2" s="43" t="s">
        <v>270</v>
      </c>
      <c r="B2" s="44"/>
      <c r="C2" s="44"/>
    </row>
    <row r="4" spans="1:8" ht="21.95" customHeight="1" x14ac:dyDescent="0.25">
      <c r="A4" s="45" t="s">
        <v>271</v>
      </c>
      <c r="B4" s="42"/>
      <c r="C4" s="42"/>
      <c r="D4" s="4"/>
      <c r="E4" s="4"/>
      <c r="F4" s="4"/>
      <c r="G4" s="4"/>
      <c r="H4" s="4"/>
    </row>
    <row r="5" spans="1:8" ht="30" customHeight="1" x14ac:dyDescent="0.25">
      <c r="A5" s="29" t="s">
        <v>272</v>
      </c>
      <c r="B5" s="31" t="s">
        <v>273</v>
      </c>
      <c r="C5" s="35" t="s">
        <v>274</v>
      </c>
      <c r="D5" s="4"/>
      <c r="E5" s="4"/>
      <c r="F5" s="4"/>
      <c r="G5" s="4"/>
      <c r="H5" s="4"/>
    </row>
    <row r="6" spans="1:8" ht="60.95" customHeight="1" x14ac:dyDescent="0.25">
      <c r="A6" s="33" t="s">
        <v>275</v>
      </c>
      <c r="B6" s="36" t="s">
        <v>276</v>
      </c>
      <c r="C6" s="37" t="s">
        <v>277</v>
      </c>
      <c r="D6" s="4"/>
      <c r="E6" s="4"/>
      <c r="F6" s="4"/>
      <c r="G6" s="4"/>
      <c r="H6" s="4"/>
    </row>
    <row r="7" spans="1:8" ht="60.95" customHeight="1" x14ac:dyDescent="0.25">
      <c r="A7" s="29" t="s">
        <v>278</v>
      </c>
      <c r="B7" s="31" t="s">
        <v>279</v>
      </c>
      <c r="C7" s="35" t="s">
        <v>280</v>
      </c>
      <c r="D7" s="4"/>
      <c r="E7" s="4"/>
      <c r="F7" s="4"/>
      <c r="G7" s="4"/>
      <c r="H7" s="4"/>
    </row>
    <row r="8" spans="1:8" ht="30" customHeight="1" x14ac:dyDescent="0.25">
      <c r="A8" s="33" t="s">
        <v>281</v>
      </c>
      <c r="B8" s="36" t="s">
        <v>282</v>
      </c>
      <c r="C8" s="37" t="s">
        <v>283</v>
      </c>
      <c r="D8" s="4"/>
      <c r="E8" s="4"/>
      <c r="F8" s="4"/>
      <c r="G8" s="4"/>
      <c r="H8" s="4"/>
    </row>
    <row r="9" spans="1:8" ht="21.95" customHeight="1" x14ac:dyDescent="0.25">
      <c r="A9" s="41" t="s">
        <v>284</v>
      </c>
      <c r="B9" s="42"/>
      <c r="C9" s="42"/>
      <c r="D9" s="4"/>
      <c r="E9" s="4"/>
      <c r="F9" s="4"/>
      <c r="G9" s="4"/>
      <c r="H9" s="4"/>
    </row>
    <row r="10" spans="1:8" ht="35.1" customHeight="1" x14ac:dyDescent="0.25">
      <c r="A10" s="33" t="s">
        <v>285</v>
      </c>
      <c r="B10" s="36" t="s">
        <v>286</v>
      </c>
      <c r="C10" s="37" t="s">
        <v>287</v>
      </c>
      <c r="D10" s="4"/>
      <c r="E10" s="4"/>
      <c r="F10" s="4"/>
      <c r="G10" s="4"/>
      <c r="H10" s="4"/>
    </row>
    <row r="11" spans="1:8" ht="35.1" customHeight="1" x14ac:dyDescent="0.25">
      <c r="A11" s="29" t="s">
        <v>288</v>
      </c>
      <c r="B11" s="31" t="s">
        <v>289</v>
      </c>
      <c r="C11" s="35" t="s">
        <v>290</v>
      </c>
      <c r="D11" s="4"/>
      <c r="E11" s="4"/>
      <c r="F11" s="4"/>
      <c r="G11" s="4"/>
      <c r="H11" s="4"/>
    </row>
    <row r="12" spans="1:8" ht="35.1" customHeight="1" x14ac:dyDescent="0.25">
      <c r="A12" s="33" t="s">
        <v>291</v>
      </c>
      <c r="B12" s="36" t="s">
        <v>292</v>
      </c>
      <c r="C12" s="37" t="s">
        <v>293</v>
      </c>
      <c r="D12" s="4"/>
      <c r="E12" s="4"/>
      <c r="F12" s="4"/>
      <c r="G12" s="4"/>
      <c r="H12" s="4"/>
    </row>
    <row r="13" spans="1:8" ht="35.1" customHeight="1" x14ac:dyDescent="0.25">
      <c r="A13" s="29" t="s">
        <v>294</v>
      </c>
      <c r="B13" s="31" t="s">
        <v>295</v>
      </c>
      <c r="C13" s="35" t="s">
        <v>296</v>
      </c>
      <c r="D13" s="4"/>
      <c r="E13" s="4"/>
      <c r="F13" s="4"/>
      <c r="G13" s="4"/>
      <c r="H13" s="4"/>
    </row>
    <row r="14" spans="1:8" ht="21.95" customHeight="1" x14ac:dyDescent="0.25">
      <c r="A14" s="49" t="s">
        <v>297</v>
      </c>
      <c r="B14" s="42"/>
      <c r="C14" s="42"/>
      <c r="D14" s="4"/>
      <c r="E14" s="4"/>
      <c r="F14" s="4"/>
      <c r="G14" s="4"/>
      <c r="H14" s="4"/>
    </row>
    <row r="15" spans="1:8" ht="30" customHeight="1" x14ac:dyDescent="0.25">
      <c r="A15" s="29" t="s">
        <v>298</v>
      </c>
      <c r="B15" s="31" t="s">
        <v>299</v>
      </c>
      <c r="C15" s="35" t="s">
        <v>300</v>
      </c>
      <c r="D15" s="4"/>
      <c r="E15" s="4"/>
      <c r="F15" s="4"/>
      <c r="G15" s="4"/>
      <c r="H15" s="4"/>
    </row>
    <row r="16" spans="1:8" ht="177.95" customHeight="1" x14ac:dyDescent="0.25">
      <c r="A16" s="33" t="s">
        <v>301</v>
      </c>
      <c r="B16" s="36" t="s">
        <v>302</v>
      </c>
      <c r="C16" s="37" t="s">
        <v>303</v>
      </c>
      <c r="D16" s="4"/>
      <c r="E16" s="4"/>
      <c r="F16" s="4"/>
      <c r="G16" s="4"/>
      <c r="H16" s="4"/>
    </row>
    <row r="17" spans="1:8" ht="60.95" customHeight="1" x14ac:dyDescent="0.25">
      <c r="A17" s="29" t="s">
        <v>304</v>
      </c>
      <c r="B17" s="31" t="s">
        <v>305</v>
      </c>
      <c r="C17" s="35" t="s">
        <v>306</v>
      </c>
      <c r="D17" s="4"/>
      <c r="E17" s="4"/>
      <c r="F17" s="4"/>
      <c r="G17" s="4"/>
      <c r="H17" s="4"/>
    </row>
    <row r="18" spans="1:8" ht="30" customHeight="1" x14ac:dyDescent="0.25">
      <c r="A18" s="33" t="s">
        <v>307</v>
      </c>
      <c r="B18" s="36" t="s">
        <v>308</v>
      </c>
      <c r="C18" s="37" t="s">
        <v>309</v>
      </c>
      <c r="D18" s="4"/>
      <c r="E18" s="4"/>
      <c r="F18" s="4"/>
      <c r="G18" s="4"/>
      <c r="H18" s="4"/>
    </row>
    <row r="19" spans="1:8" ht="30" customHeight="1" x14ac:dyDescent="0.25">
      <c r="A19" s="29" t="s">
        <v>310</v>
      </c>
      <c r="B19" s="31" t="s">
        <v>311</v>
      </c>
      <c r="C19" s="35" t="s">
        <v>312</v>
      </c>
      <c r="D19" s="4"/>
      <c r="E19" s="4"/>
      <c r="F19" s="4"/>
      <c r="G19" s="4"/>
      <c r="H19" s="4"/>
    </row>
    <row r="20" spans="1:8" x14ac:dyDescent="0.25">
      <c r="A20" s="4"/>
      <c r="B20" s="4"/>
      <c r="C20" s="4"/>
      <c r="D20" s="4"/>
      <c r="E20" s="4"/>
      <c r="F20" s="4"/>
      <c r="G20" s="4"/>
      <c r="H20" s="4"/>
    </row>
    <row r="21" spans="1:8" x14ac:dyDescent="0.25">
      <c r="A21" s="50" t="s">
        <v>313</v>
      </c>
      <c r="B21" s="42"/>
      <c r="C21" s="42"/>
      <c r="D21" s="4"/>
      <c r="E21" s="4"/>
      <c r="F21" s="4"/>
      <c r="G21" s="4"/>
      <c r="H21" s="4"/>
    </row>
    <row r="22" spans="1:8" ht="20.100000000000001" customHeight="1" x14ac:dyDescent="0.25">
      <c r="A22" s="38" t="s">
        <v>314</v>
      </c>
      <c r="B22" s="38" t="s">
        <v>315</v>
      </c>
      <c r="C22" s="38" t="s">
        <v>316</v>
      </c>
      <c r="D22" s="38" t="s">
        <v>317</v>
      </c>
      <c r="E22" s="38" t="s">
        <v>318</v>
      </c>
      <c r="F22" s="38" t="s">
        <v>319</v>
      </c>
      <c r="G22" s="38" t="s">
        <v>320</v>
      </c>
      <c r="H22" s="38" t="s">
        <v>321</v>
      </c>
    </row>
    <row r="23" spans="1:8" ht="18" customHeight="1" x14ac:dyDescent="0.25">
      <c r="A23" s="39"/>
      <c r="B23" s="39"/>
      <c r="C23" s="39"/>
      <c r="D23" s="39"/>
      <c r="E23" s="39"/>
      <c r="F23" s="39"/>
      <c r="G23" s="39"/>
      <c r="H23" s="39"/>
    </row>
    <row r="24" spans="1:8" ht="18" customHeight="1" x14ac:dyDescent="0.25">
      <c r="A24" s="40"/>
      <c r="B24" s="40"/>
      <c r="C24" s="40"/>
      <c r="D24" s="40"/>
      <c r="E24" s="40"/>
      <c r="F24" s="40"/>
      <c r="G24" s="40"/>
      <c r="H24" s="40"/>
    </row>
    <row r="25" spans="1:8" ht="18" customHeight="1" x14ac:dyDescent="0.25">
      <c r="A25" s="39"/>
      <c r="B25" s="39"/>
      <c r="C25" s="39"/>
      <c r="D25" s="39"/>
      <c r="E25" s="39"/>
      <c r="F25" s="39"/>
      <c r="G25" s="39"/>
      <c r="H25" s="39"/>
    </row>
    <row r="26" spans="1:8" ht="18" customHeight="1" x14ac:dyDescent="0.25">
      <c r="A26" s="40"/>
      <c r="B26" s="40"/>
      <c r="C26" s="40"/>
      <c r="D26" s="40"/>
      <c r="E26" s="40"/>
      <c r="F26" s="40"/>
      <c r="G26" s="40"/>
      <c r="H26" s="40"/>
    </row>
    <row r="27" spans="1:8" ht="18" customHeight="1" x14ac:dyDescent="0.25">
      <c r="A27" s="39"/>
      <c r="B27" s="39"/>
      <c r="C27" s="39"/>
      <c r="D27" s="39"/>
      <c r="E27" s="39"/>
      <c r="F27" s="39"/>
      <c r="G27" s="39"/>
      <c r="H27" s="39"/>
    </row>
    <row r="28" spans="1:8" ht="18" customHeight="1" x14ac:dyDescent="0.25">
      <c r="A28" s="40"/>
      <c r="B28" s="40"/>
      <c r="C28" s="40"/>
      <c r="D28" s="40"/>
      <c r="E28" s="40"/>
      <c r="F28" s="40"/>
      <c r="G28" s="40"/>
      <c r="H28" s="40"/>
    </row>
    <row r="29" spans="1:8" ht="18" customHeight="1" x14ac:dyDescent="0.25">
      <c r="A29" s="39"/>
      <c r="B29" s="39"/>
      <c r="C29" s="39"/>
      <c r="D29" s="39"/>
      <c r="E29" s="39"/>
      <c r="F29" s="39"/>
      <c r="G29" s="39"/>
      <c r="H29" s="39"/>
    </row>
    <row r="30" spans="1:8" ht="18" customHeight="1" x14ac:dyDescent="0.25">
      <c r="A30" s="40"/>
      <c r="B30" s="40"/>
      <c r="C30" s="40"/>
      <c r="D30" s="40"/>
      <c r="E30" s="40"/>
      <c r="F30" s="40"/>
      <c r="G30" s="40"/>
      <c r="H30" s="40"/>
    </row>
    <row r="31" spans="1:8" ht="18" customHeight="1" x14ac:dyDescent="0.25">
      <c r="A31" s="39"/>
      <c r="B31" s="39"/>
      <c r="C31" s="39"/>
      <c r="D31" s="39"/>
      <c r="E31" s="39"/>
      <c r="F31" s="39"/>
      <c r="G31" s="39"/>
      <c r="H31" s="39"/>
    </row>
    <row r="32" spans="1:8" ht="18" customHeight="1" x14ac:dyDescent="0.25">
      <c r="A32" s="40"/>
      <c r="B32" s="40"/>
      <c r="C32" s="40"/>
      <c r="D32" s="40"/>
      <c r="E32" s="40"/>
      <c r="F32" s="40"/>
      <c r="G32" s="40"/>
      <c r="H32" s="40"/>
    </row>
    <row r="33" spans="1:8" ht="18" customHeight="1" x14ac:dyDescent="0.25">
      <c r="A33" s="39"/>
      <c r="B33" s="39"/>
      <c r="C33" s="39"/>
      <c r="D33" s="39"/>
      <c r="E33" s="39"/>
      <c r="F33" s="39"/>
      <c r="G33" s="39"/>
      <c r="H33" s="39"/>
    </row>
    <row r="34" spans="1:8" ht="18" customHeight="1" x14ac:dyDescent="0.25">
      <c r="A34" s="40"/>
      <c r="B34" s="40"/>
      <c r="C34" s="40"/>
      <c r="D34" s="40"/>
      <c r="E34" s="40"/>
      <c r="F34" s="40"/>
      <c r="G34" s="40"/>
      <c r="H34" s="40"/>
    </row>
    <row r="35" spans="1:8" ht="18" customHeight="1" x14ac:dyDescent="0.25">
      <c r="A35" s="39"/>
      <c r="B35" s="39"/>
      <c r="C35" s="39"/>
      <c r="D35" s="39"/>
      <c r="E35" s="39"/>
      <c r="F35" s="39"/>
      <c r="G35" s="39"/>
      <c r="H35" s="39"/>
    </row>
    <row r="36" spans="1:8" ht="18" customHeight="1" x14ac:dyDescent="0.25">
      <c r="A36" s="40"/>
      <c r="B36" s="40"/>
      <c r="C36" s="40"/>
      <c r="D36" s="40"/>
      <c r="E36" s="40"/>
      <c r="F36" s="40"/>
      <c r="G36" s="40"/>
      <c r="H36" s="40"/>
    </row>
    <row r="37" spans="1:8" ht="18" customHeight="1" x14ac:dyDescent="0.25">
      <c r="A37" s="39"/>
      <c r="B37" s="39"/>
      <c r="C37" s="39"/>
      <c r="D37" s="39"/>
      <c r="E37" s="39"/>
      <c r="F37" s="39"/>
      <c r="G37" s="39"/>
      <c r="H37" s="39"/>
    </row>
    <row r="38" spans="1:8" ht="18" customHeight="1" x14ac:dyDescent="0.25">
      <c r="A38" s="40"/>
      <c r="B38" s="40"/>
      <c r="C38" s="40"/>
      <c r="D38" s="40"/>
      <c r="E38" s="40"/>
      <c r="F38" s="40"/>
      <c r="G38" s="40"/>
      <c r="H38" s="40"/>
    </row>
    <row r="39" spans="1:8" ht="18" customHeight="1" x14ac:dyDescent="0.25">
      <c r="A39" s="39"/>
      <c r="B39" s="39"/>
      <c r="C39" s="39"/>
      <c r="D39" s="39"/>
      <c r="E39" s="39"/>
      <c r="F39" s="39"/>
      <c r="G39" s="39"/>
      <c r="H39" s="39"/>
    </row>
    <row r="40" spans="1:8" ht="18" customHeight="1" x14ac:dyDescent="0.25">
      <c r="A40" s="40"/>
      <c r="B40" s="40"/>
      <c r="C40" s="40"/>
      <c r="D40" s="40"/>
      <c r="E40" s="40"/>
      <c r="F40" s="40"/>
      <c r="G40" s="40"/>
      <c r="H40" s="40"/>
    </row>
    <row r="41" spans="1:8" ht="18" customHeight="1" x14ac:dyDescent="0.25">
      <c r="A41" s="39"/>
      <c r="B41" s="39"/>
      <c r="C41" s="39"/>
      <c r="D41" s="39"/>
      <c r="E41" s="39"/>
      <c r="F41" s="39"/>
      <c r="G41" s="39"/>
      <c r="H41" s="39"/>
    </row>
    <row r="42" spans="1:8" ht="18" customHeight="1" x14ac:dyDescent="0.25">
      <c r="A42" s="40"/>
      <c r="B42" s="40"/>
      <c r="C42" s="40"/>
      <c r="D42" s="40"/>
      <c r="E42" s="40"/>
      <c r="F42" s="40"/>
      <c r="G42" s="40"/>
      <c r="H42" s="40"/>
    </row>
    <row r="43" spans="1:8" x14ac:dyDescent="0.25">
      <c r="A43" s="4"/>
      <c r="B43" s="4"/>
      <c r="C43" s="4"/>
      <c r="D43" s="4"/>
      <c r="E43" s="4"/>
      <c r="F43" s="4"/>
      <c r="G43" s="4"/>
      <c r="H43" s="4"/>
    </row>
  </sheetData>
  <mergeCells count="6">
    <mergeCell ref="A1:C1"/>
    <mergeCell ref="A14:C14"/>
    <mergeCell ref="A9:C9"/>
    <mergeCell ref="A21:C21"/>
    <mergeCell ref="A4:C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P&amp;L</vt:lpstr>
      <vt:lpstr>WA Follow-Up Sequence</vt:lpstr>
      <vt:lpstr>Student Onboarding</vt:lpstr>
      <vt:lpstr>Testimonial System</vt:lpstr>
      <vt:lpstr>Alumni Referral Program</vt:lpstr>
      <vt:lpstr>Content Repurposing SOP</vt:lpstr>
      <vt:lpstr>Corporate 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Natasya Khoo</cp:lastModifiedBy>
  <dcterms:created xsi:type="dcterms:W3CDTF">2026-03-30T06:24:57Z</dcterms:created>
  <dcterms:modified xsi:type="dcterms:W3CDTF">2026-03-30T08:32:54Z</dcterms:modified>
</cp:coreProperties>
</file>