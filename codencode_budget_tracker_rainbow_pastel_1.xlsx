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antalelectricpteltd-my.sharepoint.com/personal/natasya_khoo_cantalunited_com/Documents/Desktop/codencode/"/>
    </mc:Choice>
  </mc:AlternateContent>
  <xr:revisionPtr revIDLastSave="30" documentId="8_{20144B6F-29A6-4366-BB85-1F1E920A220C}" xr6:coauthVersionLast="47" xr6:coauthVersionMax="47" xr10:uidLastSave="{B9B2D04A-64F1-4F29-965A-746C45E79D7B}"/>
  <bookViews>
    <workbookView xWindow="-120" yWindow="-120" windowWidth="29040" windowHeight="15720" tabRatio="500" activeTab="1" xr2:uid="{00000000-000D-0000-FFFF-FFFF00000000}"/>
  </bookViews>
  <sheets>
    <sheet name="Dashboard" sheetId="1" r:id="rId1"/>
    <sheet name="Income" sheetId="2" r:id="rId2"/>
    <sheet name="Expenses" sheetId="3" r:id="rId3"/>
    <sheet name="Transactions" sheetId="4" r:id="rId4"/>
    <sheet name="P&amp;L Summary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5" i="4" l="1"/>
  <c r="H18" i="1"/>
  <c r="C10" i="2"/>
  <c r="C4" i="5" s="1"/>
  <c r="B10" i="2"/>
  <c r="B4" i="5" s="1"/>
  <c r="E10" i="2"/>
  <c r="D4" i="5" s="1"/>
  <c r="D10" i="3"/>
  <c r="D5" i="5" s="1"/>
  <c r="C10" i="3"/>
  <c r="C5" i="5" s="1"/>
  <c r="B10" i="3"/>
  <c r="B5" i="5" s="1"/>
  <c r="E5" i="5" s="1"/>
  <c r="E10" i="3"/>
  <c r="F9" i="2"/>
  <c r="F8" i="2"/>
  <c r="F7" i="2"/>
  <c r="F6" i="2"/>
  <c r="F5" i="2"/>
  <c r="F4" i="2"/>
  <c r="F10" i="2" s="1"/>
  <c r="J17" i="1"/>
  <c r="I17" i="1"/>
  <c r="H17" i="1"/>
  <c r="K17" i="1" s="1"/>
  <c r="D17" i="1"/>
  <c r="C17" i="1"/>
  <c r="B17" i="1"/>
  <c r="J16" i="1"/>
  <c r="I16" i="1"/>
  <c r="H16" i="1"/>
  <c r="K16" i="1" s="1"/>
  <c r="D16" i="1"/>
  <c r="C16" i="1"/>
  <c r="B16" i="1"/>
  <c r="E16" i="1" s="1"/>
  <c r="K15" i="1"/>
  <c r="J15" i="1"/>
  <c r="I15" i="1"/>
  <c r="H15" i="1"/>
  <c r="D15" i="1"/>
  <c r="C15" i="1"/>
  <c r="B15" i="1"/>
  <c r="E15" i="1" s="1"/>
  <c r="J14" i="1"/>
  <c r="J18" i="1" s="1"/>
  <c r="I14" i="1"/>
  <c r="H14" i="1"/>
  <c r="K14" i="1" s="1"/>
  <c r="D14" i="1"/>
  <c r="C14" i="1"/>
  <c r="B14" i="1"/>
  <c r="E14" i="1" s="1"/>
  <c r="J13" i="1"/>
  <c r="I13" i="1"/>
  <c r="H13" i="1"/>
  <c r="K13" i="1" s="1"/>
  <c r="D13" i="1"/>
  <c r="C13" i="1"/>
  <c r="B13" i="1"/>
  <c r="E13" i="1" s="1"/>
  <c r="K12" i="1"/>
  <c r="J12" i="1"/>
  <c r="I12" i="1"/>
  <c r="I18" i="1" s="1"/>
  <c r="K18" i="1" s="1"/>
  <c r="D5" i="1" s="1"/>
  <c r="H12" i="1"/>
  <c r="D12" i="1"/>
  <c r="C12" i="1"/>
  <c r="B12" i="1"/>
  <c r="E4" i="5" l="1"/>
  <c r="C18" i="1"/>
  <c r="D18" i="1"/>
  <c r="E17" i="1"/>
  <c r="B18" i="1"/>
  <c r="E18" i="1" s="1"/>
  <c r="A5" i="1" s="1"/>
  <c r="G5" i="1" s="1"/>
  <c r="D7" i="5"/>
  <c r="D6" i="5"/>
  <c r="B6" i="5"/>
  <c r="B7" i="5" s="1"/>
  <c r="C7" i="5"/>
  <c r="C6" i="5"/>
  <c r="E12" i="1"/>
  <c r="J5" i="1" l="1"/>
  <c r="E6" i="5"/>
  <c r="E7" i="5" s="1"/>
</calcChain>
</file>

<file path=xl/sharedStrings.xml><?xml version="1.0" encoding="utf-8"?>
<sst xmlns="http://schemas.openxmlformats.org/spreadsheetml/2006/main" count="108" uniqueCount="72">
  <si>
    <t>codencode  ·  Budget Tracker</t>
  </si>
  <si>
    <t>✦  Python &amp; ML Fundamentals Academy  ·  Johor Bahru, Malaysia  ✦</t>
  </si>
  <si>
    <t>TOTAL INCOME (MYR)</t>
  </si>
  <si>
    <t>TOTAL EXPENSES (MYR)</t>
  </si>
  <si>
    <t>NET BALANCE (MYR)</t>
  </si>
  <si>
    <t>BUDGET USED</t>
  </si>
  <si>
    <t>🟢  INCOME SUMMARY</t>
  </si>
  <si>
    <t>🔴  EXPENSE SUMMARY</t>
  </si>
  <si>
    <t>Category</t>
  </si>
  <si>
    <t>May 2026</t>
  </si>
  <si>
    <t>Sep 2026</t>
  </si>
  <si>
    <t>Nov 2026</t>
  </si>
  <si>
    <t>Total</t>
  </si>
  <si>
    <t>Course Fees</t>
  </si>
  <si>
    <t>Venue Rental</t>
  </si>
  <si>
    <t>Registration Fees</t>
  </si>
  <si>
    <t>Instructor Fees</t>
  </si>
  <si>
    <t>Corporate / B2B</t>
  </si>
  <si>
    <t>Marketing</t>
  </si>
  <si>
    <t>Sponsorships</t>
  </si>
  <si>
    <t>Materials</t>
  </si>
  <si>
    <t>Merchandise</t>
  </si>
  <si>
    <t>Platform / SaaS</t>
  </si>
  <si>
    <t>Other Income</t>
  </si>
  <si>
    <t>Admin &amp; Misc</t>
  </si>
  <si>
    <t>TOTAL</t>
  </si>
  <si>
    <t>INCOME TRACKER</t>
  </si>
  <si>
    <t>Track all revenue streams across cohorts  ·  Enter values in blue cells</t>
  </si>
  <si>
    <t>May 2026 (MYR)</t>
  </si>
  <si>
    <t>Sep 2026 (MYR)</t>
  </si>
  <si>
    <t>Nov 2026 (MYR)</t>
  </si>
  <si>
    <t>Total (MYR)</t>
  </si>
  <si>
    <t>Notes</t>
  </si>
  <si>
    <t>Python Fundamentals – RM500/pax</t>
  </si>
  <si>
    <t>One-time admin fee per student</t>
  </si>
  <si>
    <t>Custom training packages</t>
  </si>
  <si>
    <t>Tech company sponsorships</t>
  </si>
  <si>
    <t>Branded notebooks, tees, etc.</t>
  </si>
  <si>
    <t>Grants, competitions, misc</t>
  </si>
  <si>
    <t>TOTAL INCOME</t>
  </si>
  <si>
    <t>EXPENSE TRACKER</t>
  </si>
  <si>
    <t>Track all operating costs across cohorts  ·  Enter values in blue cells</t>
  </si>
  <si>
    <t>Co-working / classroom space</t>
  </si>
  <si>
    <t>Lead instructor + TA stipend</t>
  </si>
  <si>
    <t>Meta Ads, XHS boosts, printing</t>
  </si>
  <si>
    <t>Workbooks, USB drives, kits</t>
  </si>
  <si>
    <t>Zoom, Canva Pro, GitHub, Notion</t>
  </si>
  <si>
    <t>Transport, meals, contingency</t>
  </si>
  <si>
    <t>TOTAL EXPENSES</t>
  </si>
  <si>
    <t>TRANSACTION LOG</t>
  </si>
  <si>
    <t>Date</t>
  </si>
  <si>
    <t>Type</t>
  </si>
  <si>
    <t>Cohort</t>
  </si>
  <si>
    <t>Description</t>
  </si>
  <si>
    <t>Amount (MYR)</t>
  </si>
  <si>
    <t>Reference</t>
  </si>
  <si>
    <t>Status</t>
  </si>
  <si>
    <t>Expense</t>
  </si>
  <si>
    <t>Paid</t>
  </si>
  <si>
    <t>PROFIT &amp; LOSS SUMMARY</t>
  </si>
  <si>
    <t>Auto-calculated from Income &amp; Expenses sheets</t>
  </si>
  <si>
    <t>Line Item</t>
  </si>
  <si>
    <t>Total Revenue</t>
  </si>
  <si>
    <t>Total Expenses</t>
  </si>
  <si>
    <t>Gross Profit</t>
  </si>
  <si>
    <t>Profit Margin</t>
  </si>
  <si>
    <t xml:space="preserve">Google Review - RM2 / Review Admin - RM 260 + Posters(RM10) </t>
  </si>
  <si>
    <t>Google Business</t>
  </si>
  <si>
    <t>6 Google Reviews</t>
  </si>
  <si>
    <t>Company Registration</t>
  </si>
  <si>
    <t xml:space="preserve">TNG </t>
  </si>
  <si>
    <t>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</si>
</sst>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0" x14ac:knownFonts="1">
    <font>
      <sz val="11"/>
      <color theme="1"/>
      <name val="Calibri"/>
      <family val="2"/>
      <charset val="1"/>
    </font>
    <font>
      <b/>
      <sz val="22"/>
      <color rgb="FF2D2D2D"/>
      <name val="Arial"/>
      <charset val="1"/>
    </font>
    <font>
      <i/>
      <sz val="10"/>
      <color rgb="FF4A90C4"/>
      <name val="Arial"/>
      <charset val="1"/>
    </font>
    <font>
      <b/>
      <sz val="9"/>
      <color rgb="FF2D2D2D"/>
      <name val="Arial"/>
      <charset val="1"/>
    </font>
    <font>
      <b/>
      <sz val="20"/>
      <color rgb="FF4DA86A"/>
      <name val="Arial"/>
      <charset val="1"/>
    </font>
    <font>
      <b/>
      <sz val="20"/>
      <color rgb="FFD4707C"/>
      <name val="Arial"/>
      <charset val="1"/>
    </font>
    <font>
      <b/>
      <sz val="20"/>
      <color rgb="FF4A90C4"/>
      <name val="Arial"/>
      <charset val="1"/>
    </font>
    <font>
      <b/>
      <sz val="20"/>
      <color rgb="FFB8A800"/>
      <name val="Arial"/>
      <charset val="1"/>
    </font>
    <font>
      <b/>
      <sz val="11"/>
      <color rgb="FF4DA86A"/>
      <name val="Arial"/>
      <charset val="1"/>
    </font>
    <font>
      <b/>
      <sz val="11"/>
      <color rgb="FFD4707C"/>
      <name val="Arial"/>
      <charset val="1"/>
    </font>
    <font>
      <b/>
      <sz val="9"/>
      <color rgb="FF4DA86A"/>
      <name val="Arial"/>
      <charset val="1"/>
    </font>
    <font>
      <b/>
      <sz val="9"/>
      <color rgb="FFD4707C"/>
      <name val="Arial"/>
      <charset val="1"/>
    </font>
    <font>
      <sz val="10"/>
      <color rgb="FF2D2D2D"/>
      <name val="Arial"/>
      <charset val="1"/>
    </font>
    <font>
      <b/>
      <sz val="10"/>
      <color rgb="FF4DA86A"/>
      <name val="Arial"/>
      <charset val="1"/>
    </font>
    <font>
      <b/>
      <sz val="10"/>
      <color rgb="FFD4707C"/>
      <name val="Arial"/>
      <charset val="1"/>
    </font>
    <font>
      <b/>
      <sz val="10"/>
      <color rgb="FFFFFFFF"/>
      <name val="Arial"/>
      <charset val="1"/>
    </font>
    <font>
      <b/>
      <sz val="16"/>
      <color rgb="FF2D2D2D"/>
      <name val="Arial"/>
      <charset val="1"/>
    </font>
    <font>
      <i/>
      <sz val="9"/>
      <color rgb="FF4DA86A"/>
      <name val="Arial"/>
      <charset val="1"/>
    </font>
    <font>
      <sz val="10"/>
      <color rgb="FF2255AA"/>
      <name val="Arial"/>
      <charset val="1"/>
    </font>
    <font>
      <i/>
      <sz val="9"/>
      <color rgb="FF777777"/>
      <name val="Arial"/>
      <charset val="1"/>
    </font>
    <font>
      <b/>
      <sz val="11"/>
      <color rgb="FFFFFFFF"/>
      <name val="Arial"/>
      <charset val="1"/>
    </font>
    <font>
      <i/>
      <sz val="9"/>
      <color rgb="FFD4707C"/>
      <name val="Arial"/>
      <charset val="1"/>
    </font>
    <font>
      <b/>
      <sz val="10"/>
      <color rgb="FF4A90C4"/>
      <name val="Arial"/>
      <charset val="1"/>
    </font>
    <font>
      <sz val="10"/>
      <color rgb="FF4DA86A"/>
      <name val="Arial"/>
      <charset val="1"/>
    </font>
    <font>
      <sz val="10"/>
      <color rgb="FFD4707C"/>
      <name val="Arial"/>
      <charset val="1"/>
    </font>
    <font>
      <i/>
      <sz val="9"/>
      <color rgb="FFB8A800"/>
      <name val="Arial"/>
      <charset val="1"/>
    </font>
    <font>
      <b/>
      <sz val="10"/>
      <color rgb="FFB8A800"/>
      <name val="Arial"/>
      <charset val="1"/>
    </font>
    <font>
      <sz val="10"/>
      <color rgb="FF4A90C4"/>
      <name val="Arial"/>
      <charset val="1"/>
    </font>
    <font>
      <sz val="10"/>
      <color rgb="FFB8A800"/>
      <name val="Arial"/>
      <charset val="1"/>
    </font>
    <font>
      <b/>
      <sz val="11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BAE1FF"/>
        <bgColor rgb="FFD6EEFF"/>
      </patternFill>
    </fill>
    <fill>
      <patternFill patternType="solid">
        <fgColor rgb="FFD6EEFF"/>
        <bgColor rgb="FFD6FFE0"/>
      </patternFill>
    </fill>
    <fill>
      <patternFill patternType="solid">
        <fgColor rgb="FFFFB3BA"/>
        <bgColor rgb="FFFFD6DA"/>
      </patternFill>
    </fill>
    <fill>
      <patternFill patternType="solid">
        <fgColor rgb="FFFFDFBA"/>
        <bgColor rgb="FFFFD6DA"/>
      </patternFill>
    </fill>
    <fill>
      <patternFill patternType="solid">
        <fgColor rgb="FFFFFFBA"/>
        <bgColor rgb="FFFFFFD6"/>
      </patternFill>
    </fill>
    <fill>
      <patternFill patternType="solid">
        <fgColor rgb="FFBAFFC9"/>
        <bgColor rgb="FFD6FFE0"/>
      </patternFill>
    </fill>
    <fill>
      <patternFill patternType="solid">
        <fgColor rgb="FFD6FFE0"/>
        <bgColor rgb="FFD6EEFF"/>
      </patternFill>
    </fill>
    <fill>
      <patternFill patternType="solid">
        <fgColor rgb="FFFFD6DA"/>
        <bgColor rgb="FFFFDFBA"/>
      </patternFill>
    </fill>
    <fill>
      <patternFill patternType="solid">
        <fgColor rgb="FFFFFFD6"/>
        <bgColor rgb="FFFFFFBA"/>
      </patternFill>
    </fill>
    <fill>
      <patternFill patternType="solid">
        <fgColor rgb="FF4DA86A"/>
        <bgColor rgb="FF4A90C4"/>
      </patternFill>
    </fill>
    <fill>
      <patternFill patternType="solid">
        <fgColor rgb="FFD4707C"/>
        <bgColor rgb="FF969696"/>
      </patternFill>
    </fill>
    <fill>
      <patternFill patternType="solid">
        <fgColor rgb="FFFFEFD6"/>
        <bgColor rgb="FFFFFFD6"/>
      </patternFill>
    </fill>
    <fill>
      <patternFill patternType="solid">
        <fgColor rgb="FFFAFAFA"/>
        <bgColor rgb="FFFFFFFF"/>
      </patternFill>
    </fill>
    <fill>
      <patternFill patternType="solid">
        <fgColor rgb="FFFFFFFF"/>
        <bgColor rgb="FFFAFAFA"/>
      </patternFill>
    </fill>
    <fill>
      <patternFill patternType="solid">
        <fgColor rgb="FF4A90C4"/>
        <bgColor rgb="FF4DA86A"/>
      </patternFill>
    </fill>
    <fill>
      <patternFill patternType="solid">
        <fgColor rgb="FFB8A800"/>
        <bgColor rgb="FFFF9900"/>
      </patternFill>
    </fill>
    <fill>
      <patternFill patternType="solid">
        <fgColor theme="0"/>
        <bgColor rgb="FFFFD6DA"/>
      </patternFill>
    </fill>
    <fill>
      <patternFill patternType="solid">
        <fgColor theme="0"/>
        <bgColor rgb="FFFFDFBA"/>
      </patternFill>
    </fill>
    <fill>
      <patternFill patternType="solid">
        <fgColor theme="0"/>
        <bgColor rgb="FFFFFFD6"/>
      </patternFill>
    </fill>
    <fill>
      <patternFill patternType="solid">
        <fgColor theme="0"/>
        <bgColor rgb="FFFFFFBA"/>
      </patternFill>
    </fill>
    <fill>
      <patternFill patternType="solid">
        <fgColor rgb="FFFFD6DA"/>
        <bgColor rgb="FFFFD6DA"/>
      </patternFill>
    </fill>
    <fill>
      <patternFill patternType="solid">
        <fgColor rgb="FFFFD6DA"/>
        <bgColor rgb="FFFFFFD6"/>
      </patternFill>
    </fill>
    <fill>
      <patternFill patternType="solid">
        <fgColor rgb="FFFFD6DA"/>
        <bgColor rgb="FFFFFFBA"/>
      </patternFill>
    </fill>
    <fill>
      <patternFill patternType="solid">
        <fgColor theme="0"/>
        <bgColor rgb="FFD6FFE0"/>
      </patternFill>
    </fill>
    <fill>
      <patternFill patternType="solid">
        <fgColor theme="0"/>
        <bgColor rgb="FFD6EEFF"/>
      </patternFill>
    </fill>
    <fill>
      <patternFill patternType="solid">
        <fgColor rgb="FFD6FFE0"/>
        <bgColor rgb="FFD6FFE0"/>
      </patternFill>
    </fill>
    <fill>
      <patternFill patternType="solid">
        <fgColor rgb="FFD6FFE0"/>
        <bgColor rgb="FFFFFFD6"/>
      </patternFill>
    </fill>
    <fill>
      <patternFill patternType="solid">
        <fgColor rgb="FFD6FFE0"/>
        <bgColor rgb="FFFFFFBA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/>
      <top/>
      <bottom/>
      <diagonal/>
    </border>
  </borders>
  <cellStyleXfs count="2">
    <xf numFmtId="0" fontId="0" fillId="0" borderId="0"/>
    <xf numFmtId="0" fontId="29" fillId="0" borderId="2" applyNumberFormat="0" applyFill="0" applyAlignment="0" applyProtection="0"/>
  </cellStyleXfs>
  <cellXfs count="102">
    <xf numFmtId="0" fontId="0" fillId="0" borderId="0" xfId="0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2" borderId="0" xfId="0" applyFill="1"/>
    <xf numFmtId="0" fontId="10" fillId="8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left" vertical="center"/>
    </xf>
    <xf numFmtId="4" fontId="12" fillId="7" borderId="1" xfId="0" applyNumberFormat="1" applyFont="1" applyFill="1" applyBorder="1" applyAlignment="1">
      <alignment horizontal="right" vertical="center"/>
    </xf>
    <xf numFmtId="4" fontId="13" fillId="8" borderId="1" xfId="0" applyNumberFormat="1" applyFont="1" applyFill="1" applyBorder="1" applyAlignment="1">
      <alignment horizontal="right" vertical="center"/>
    </xf>
    <xf numFmtId="0" fontId="12" fillId="4" borderId="1" xfId="0" applyFont="1" applyFill="1" applyBorder="1" applyAlignment="1">
      <alignment horizontal="left" vertical="center"/>
    </xf>
    <xf numFmtId="4" fontId="12" fillId="4" borderId="1" xfId="0" applyNumberFormat="1" applyFont="1" applyFill="1" applyBorder="1" applyAlignment="1">
      <alignment horizontal="right" vertical="center"/>
    </xf>
    <xf numFmtId="4" fontId="14" fillId="9" borderId="1" xfId="0" applyNumberFormat="1" applyFont="1" applyFill="1" applyBorder="1" applyAlignment="1">
      <alignment horizontal="right" vertical="center"/>
    </xf>
    <xf numFmtId="0" fontId="12" fillId="8" borderId="1" xfId="0" applyFont="1" applyFill="1" applyBorder="1" applyAlignment="1">
      <alignment horizontal="left" vertical="center"/>
    </xf>
    <xf numFmtId="4" fontId="12" fillId="8" borderId="1" xfId="0" applyNumberFormat="1" applyFont="1" applyFill="1" applyBorder="1" applyAlignment="1">
      <alignment horizontal="right" vertical="center"/>
    </xf>
    <xf numFmtId="0" fontId="12" fillId="9" borderId="1" xfId="0" applyFont="1" applyFill="1" applyBorder="1" applyAlignment="1">
      <alignment horizontal="left" vertical="center"/>
    </xf>
    <xf numFmtId="4" fontId="12" fillId="9" borderId="1" xfId="0" applyNumberFormat="1" applyFont="1" applyFill="1" applyBorder="1" applyAlignment="1">
      <alignment horizontal="right" vertical="center"/>
    </xf>
    <xf numFmtId="0" fontId="13" fillId="7" borderId="1" xfId="0" applyFont="1" applyFill="1" applyBorder="1" applyAlignment="1">
      <alignment horizontal="center" vertical="center"/>
    </xf>
    <xf numFmtId="4" fontId="13" fillId="7" borderId="1" xfId="0" applyNumberFormat="1" applyFont="1" applyFill="1" applyBorder="1" applyAlignment="1">
      <alignment horizontal="right" vertical="center"/>
    </xf>
    <xf numFmtId="4" fontId="15" fillId="11" borderId="1" xfId="0" applyNumberFormat="1" applyFont="1" applyFill="1" applyBorder="1" applyAlignment="1">
      <alignment horizontal="right" vertical="center"/>
    </xf>
    <xf numFmtId="0" fontId="14" fillId="4" borderId="1" xfId="0" applyFont="1" applyFill="1" applyBorder="1" applyAlignment="1">
      <alignment horizontal="center" vertical="center"/>
    </xf>
    <xf numFmtId="4" fontId="14" fillId="4" borderId="1" xfId="0" applyNumberFormat="1" applyFont="1" applyFill="1" applyBorder="1" applyAlignment="1">
      <alignment horizontal="right" vertical="center"/>
    </xf>
    <xf numFmtId="4" fontId="15" fillId="12" borderId="1" xfId="0" applyNumberFormat="1" applyFont="1" applyFill="1" applyBorder="1" applyAlignment="1">
      <alignment horizontal="right" vertical="center"/>
    </xf>
    <xf numFmtId="0" fontId="13" fillId="7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left" vertical="center" wrapText="1"/>
    </xf>
    <xf numFmtId="0" fontId="19" fillId="8" borderId="1" xfId="0" applyFont="1" applyFill="1" applyBorder="1" applyAlignment="1">
      <alignment horizontal="left" vertical="center" wrapText="1"/>
    </xf>
    <xf numFmtId="0" fontId="19" fillId="2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/>
    </xf>
    <xf numFmtId="0" fontId="19" fillId="3" borderId="1" xfId="0" applyFont="1" applyFill="1" applyBorder="1" applyAlignment="1">
      <alignment horizontal="left" vertical="center" wrapText="1"/>
    </xf>
    <xf numFmtId="0" fontId="19" fillId="6" borderId="1" xfId="0" applyFont="1" applyFill="1" applyBorder="1" applyAlignment="1">
      <alignment horizontal="left" vertical="center" wrapText="1"/>
    </xf>
    <xf numFmtId="0" fontId="19" fillId="10" borderId="1" xfId="0" applyFont="1" applyFill="1" applyBorder="1" applyAlignment="1">
      <alignment horizontal="left" vertical="center" wrapText="1"/>
    </xf>
    <xf numFmtId="0" fontId="20" fillId="11" borderId="1" xfId="0" applyFont="1" applyFill="1" applyBorder="1" applyAlignment="1">
      <alignment horizontal="center" vertical="center"/>
    </xf>
    <xf numFmtId="4" fontId="20" fillId="11" borderId="1" xfId="0" applyNumberFormat="1" applyFont="1" applyFill="1" applyBorder="1" applyAlignment="1">
      <alignment horizontal="right" vertical="center"/>
    </xf>
    <xf numFmtId="0" fontId="14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left" vertical="center" wrapText="1"/>
    </xf>
    <xf numFmtId="0" fontId="19" fillId="9" borderId="1" xfId="0" applyFont="1" applyFill="1" applyBorder="1" applyAlignment="1">
      <alignment horizontal="left" vertical="center" wrapText="1"/>
    </xf>
    <xf numFmtId="0" fontId="19" fillId="5" borderId="1" xfId="0" applyFont="1" applyFill="1" applyBorder="1" applyAlignment="1">
      <alignment horizontal="left" vertical="center" wrapText="1"/>
    </xf>
    <xf numFmtId="0" fontId="19" fillId="13" borderId="1" xfId="0" applyFont="1" applyFill="1" applyBorder="1" applyAlignment="1">
      <alignment horizontal="left" vertical="center" wrapText="1"/>
    </xf>
    <xf numFmtId="0" fontId="20" fillId="12" borderId="1" xfId="0" applyFont="1" applyFill="1" applyBorder="1" applyAlignment="1">
      <alignment horizontal="center" vertical="center"/>
    </xf>
    <xf numFmtId="4" fontId="20" fillId="4" borderId="1" xfId="0" applyNumberFormat="1" applyFont="1" applyFill="1" applyBorder="1" applyAlignment="1">
      <alignment horizontal="right" vertical="center"/>
    </xf>
    <xf numFmtId="4" fontId="20" fillId="12" borderId="1" xfId="0" applyNumberFormat="1" applyFont="1" applyFill="1" applyBorder="1" applyAlignment="1">
      <alignment horizontal="right" vertical="center"/>
    </xf>
    <xf numFmtId="0" fontId="22" fillId="2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4" fontId="23" fillId="3" borderId="1" xfId="0" applyNumberFormat="1" applyFont="1" applyFill="1" applyBorder="1" applyAlignment="1">
      <alignment horizontal="right" vertical="center"/>
    </xf>
    <xf numFmtId="0" fontId="12" fillId="8" borderId="1" xfId="0" applyFont="1" applyFill="1" applyBorder="1" applyAlignment="1">
      <alignment horizontal="center" vertical="center"/>
    </xf>
    <xf numFmtId="4" fontId="24" fillId="8" borderId="1" xfId="0" applyNumberFormat="1" applyFont="1" applyFill="1" applyBorder="1" applyAlignment="1">
      <alignment horizontal="right" vertical="center"/>
    </xf>
    <xf numFmtId="4" fontId="24" fillId="4" borderId="1" xfId="0" applyNumberFormat="1" applyFont="1" applyFill="1" applyBorder="1" applyAlignment="1">
      <alignment horizontal="right" vertical="center"/>
    </xf>
    <xf numFmtId="0" fontId="12" fillId="9" borderId="1" xfId="0" applyFont="1" applyFill="1" applyBorder="1" applyAlignment="1">
      <alignment horizontal="center" vertical="center"/>
    </xf>
    <xf numFmtId="4" fontId="24" fillId="9" borderId="1" xfId="0" applyNumberFormat="1" applyFont="1" applyFill="1" applyBorder="1" applyAlignment="1">
      <alignment horizontal="right" vertical="center"/>
    </xf>
    <xf numFmtId="0" fontId="18" fillId="14" borderId="1" xfId="0" applyFont="1" applyFill="1" applyBorder="1"/>
    <xf numFmtId="4" fontId="18" fillId="14" borderId="1" xfId="0" applyNumberFormat="1" applyFont="1" applyFill="1" applyBorder="1"/>
    <xf numFmtId="0" fontId="18" fillId="15" borderId="1" xfId="0" applyFont="1" applyFill="1" applyBorder="1"/>
    <xf numFmtId="4" fontId="18" fillId="15" borderId="1" xfId="0" applyNumberFormat="1" applyFont="1" applyFill="1" applyBorder="1"/>
    <xf numFmtId="0" fontId="26" fillId="6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left" vertical="center"/>
    </xf>
    <xf numFmtId="4" fontId="23" fillId="7" borderId="1" xfId="0" applyNumberFormat="1" applyFont="1" applyFill="1" applyBorder="1" applyAlignment="1">
      <alignment horizontal="right" vertical="center"/>
    </xf>
    <xf numFmtId="0" fontId="14" fillId="4" borderId="1" xfId="0" applyFont="1" applyFill="1" applyBorder="1" applyAlignment="1">
      <alignment horizontal="left" vertical="center"/>
    </xf>
    <xf numFmtId="0" fontId="22" fillId="2" borderId="1" xfId="0" applyFont="1" applyFill="1" applyBorder="1" applyAlignment="1">
      <alignment horizontal="left" vertical="center"/>
    </xf>
    <xf numFmtId="4" fontId="27" fillId="2" borderId="1" xfId="0" applyNumberFormat="1" applyFont="1" applyFill="1" applyBorder="1" applyAlignment="1">
      <alignment horizontal="right" vertical="center"/>
    </xf>
    <xf numFmtId="4" fontId="15" fillId="16" borderId="1" xfId="0" applyNumberFormat="1" applyFont="1" applyFill="1" applyBorder="1" applyAlignment="1">
      <alignment horizontal="right" vertical="center"/>
    </xf>
    <xf numFmtId="0" fontId="26" fillId="6" borderId="1" xfId="0" applyFont="1" applyFill="1" applyBorder="1" applyAlignment="1">
      <alignment horizontal="left" vertical="center"/>
    </xf>
    <xf numFmtId="164" fontId="28" fillId="6" borderId="1" xfId="0" applyNumberFormat="1" applyFont="1" applyFill="1" applyBorder="1" applyAlignment="1">
      <alignment horizontal="right" vertical="center"/>
    </xf>
    <xf numFmtId="164" fontId="15" fillId="17" borderId="1" xfId="0" applyNumberFormat="1" applyFont="1" applyFill="1" applyBorder="1" applyAlignment="1">
      <alignment horizontal="right" vertical="center"/>
    </xf>
    <xf numFmtId="14" fontId="12" fillId="9" borderId="1" xfId="0" applyNumberFormat="1" applyFont="1" applyFill="1" applyBorder="1" applyAlignment="1">
      <alignment horizontal="center" vertical="center"/>
    </xf>
    <xf numFmtId="0" fontId="29" fillId="0" borderId="2" xfId="1"/>
    <xf numFmtId="4" fontId="29" fillId="0" borderId="2" xfId="1" applyNumberFormat="1"/>
    <xf numFmtId="0" fontId="18" fillId="14" borderId="1" xfId="0" applyFont="1" applyFill="1" applyBorder="1" applyAlignment="1">
      <alignment horizontal="center" vertical="center"/>
    </xf>
    <xf numFmtId="0" fontId="18" fillId="15" borderId="1" xfId="0" applyFont="1" applyFill="1" applyBorder="1" applyAlignment="1">
      <alignment horizontal="center" vertical="center"/>
    </xf>
    <xf numFmtId="4" fontId="4" fillId="8" borderId="0" xfId="0" applyNumberFormat="1" applyFont="1" applyFill="1" applyAlignment="1">
      <alignment horizontal="center" vertical="center"/>
    </xf>
    <xf numFmtId="4" fontId="5" fillId="9" borderId="0" xfId="0" applyNumberFormat="1" applyFont="1" applyFill="1" applyAlignment="1">
      <alignment horizontal="center" vertical="center"/>
    </xf>
    <xf numFmtId="4" fontId="6" fillId="3" borderId="0" xfId="0" applyNumberFormat="1" applyFont="1" applyFill="1" applyAlignment="1">
      <alignment horizontal="center" vertical="center"/>
    </xf>
    <xf numFmtId="164" fontId="7" fillId="10" borderId="0" xfId="0" applyNumberFormat="1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0" fontId="19" fillId="9" borderId="3" xfId="0" applyFont="1" applyFill="1" applyBorder="1" applyAlignment="1">
      <alignment horizontal="center" vertical="center" wrapText="1"/>
    </xf>
    <xf numFmtId="0" fontId="19" fillId="9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25" fillId="10" borderId="0" xfId="0" applyFont="1" applyFill="1" applyAlignment="1">
      <alignment horizontal="center" vertical="center"/>
    </xf>
    <xf numFmtId="4" fontId="18" fillId="18" borderId="1" xfId="0" applyNumberFormat="1" applyFont="1" applyFill="1" applyBorder="1" applyAlignment="1">
      <alignment horizontal="right" vertical="center"/>
    </xf>
    <xf numFmtId="4" fontId="18" fillId="19" borderId="1" xfId="0" applyNumberFormat="1" applyFont="1" applyFill="1" applyBorder="1" applyAlignment="1">
      <alignment horizontal="right" vertical="center"/>
    </xf>
    <xf numFmtId="4" fontId="18" fillId="20" borderId="1" xfId="0" applyNumberFormat="1" applyFont="1" applyFill="1" applyBorder="1" applyAlignment="1">
      <alignment horizontal="right" vertical="center"/>
    </xf>
    <xf numFmtId="4" fontId="18" fillId="21" borderId="1" xfId="0" applyNumberFormat="1" applyFont="1" applyFill="1" applyBorder="1" applyAlignment="1">
      <alignment horizontal="right" vertical="center"/>
    </xf>
    <xf numFmtId="0" fontId="12" fillId="22" borderId="1" xfId="0" applyFont="1" applyFill="1" applyBorder="1" applyAlignment="1">
      <alignment horizontal="left" vertical="center"/>
    </xf>
    <xf numFmtId="0" fontId="12" fillId="23" borderId="1" xfId="0" applyFont="1" applyFill="1" applyBorder="1" applyAlignment="1">
      <alignment horizontal="left" vertical="center"/>
    </xf>
    <xf numFmtId="0" fontId="12" fillId="24" borderId="1" xfId="0" applyFont="1" applyFill="1" applyBorder="1" applyAlignment="1">
      <alignment horizontal="left" vertical="center"/>
    </xf>
    <xf numFmtId="4" fontId="18" fillId="25" borderId="1" xfId="0" applyNumberFormat="1" applyFont="1" applyFill="1" applyBorder="1" applyAlignment="1">
      <alignment horizontal="right" vertical="center"/>
    </xf>
    <xf numFmtId="4" fontId="18" fillId="26" borderId="1" xfId="0" applyNumberFormat="1" applyFont="1" applyFill="1" applyBorder="1" applyAlignment="1">
      <alignment horizontal="right" vertical="center"/>
    </xf>
    <xf numFmtId="0" fontId="12" fillId="27" borderId="1" xfId="0" applyFont="1" applyFill="1" applyBorder="1" applyAlignment="1">
      <alignment horizontal="left" vertical="center"/>
    </xf>
    <xf numFmtId="0" fontId="12" fillId="28" borderId="1" xfId="0" applyFont="1" applyFill="1" applyBorder="1" applyAlignment="1">
      <alignment horizontal="left" vertical="center"/>
    </xf>
    <xf numFmtId="0" fontId="12" fillId="29" borderId="1" xfId="0" applyFont="1" applyFill="1" applyBorder="1" applyAlignment="1">
      <alignment horizontal="left" vertical="center"/>
    </xf>
  </cellXfs>
  <cellStyles count="2">
    <cellStyle name="Normal" xfId="0" builtinId="0"/>
    <cellStyle name="Total" xfId="1" builtinId="2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AFAFA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77777"/>
      <rgbColor rgb="FF9999FF"/>
      <rgbColor rgb="FF993366"/>
      <rgbColor rgb="FFFFFFD6"/>
      <rgbColor rgb="FFD6EEFF"/>
      <rgbColor rgb="FF660066"/>
      <rgbColor rgb="FFD4707C"/>
      <rgbColor rgb="FF2255AA"/>
      <rgbColor rgb="FFBAE1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AFFC9"/>
      <rgbColor rgb="FFD6FFE0"/>
      <rgbColor rgb="FFFFFFBA"/>
      <rgbColor rgb="FFFFEFD6"/>
      <rgbColor rgb="FFFFB3BA"/>
      <rgbColor rgb="FFFFD6DA"/>
      <rgbColor rgb="FFFFDFBA"/>
      <rgbColor rgb="FF3366FF"/>
      <rgbColor rgb="FF33CCCC"/>
      <rgbColor rgb="FFB8A800"/>
      <rgbColor rgb="FFFFCC00"/>
      <rgbColor rgb="FFFF9900"/>
      <rgbColor rgb="FFFF6600"/>
      <rgbColor rgb="FF4A90C4"/>
      <rgbColor rgb="FF969696"/>
      <rgbColor rgb="FF003366"/>
      <rgbColor rgb="FF4DA86A"/>
      <rgbColor rgb="FF003300"/>
      <rgbColor rgb="FF333300"/>
      <rgbColor rgb="FF993300"/>
      <rgbColor rgb="FF993366"/>
      <rgbColor rgb="FF333399"/>
      <rgbColor rgb="FF2D2D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6FFE0"/>
      <color rgb="FFFFD6DA"/>
      <color rgb="FFFFB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showGridLines="0" zoomScaleNormal="100" workbookViewId="0">
      <selection activeCell="G28" sqref="G28"/>
    </sheetView>
  </sheetViews>
  <sheetFormatPr defaultColWidth="8.7109375" defaultRowHeight="15" x14ac:dyDescent="0.25"/>
  <cols>
    <col min="1" max="1" width="22" customWidth="1"/>
    <col min="2" max="5" width="14" customWidth="1"/>
    <col min="6" max="6" width="3" customWidth="1"/>
    <col min="7" max="7" width="22" customWidth="1"/>
    <col min="8" max="11" width="14" customWidth="1"/>
  </cols>
  <sheetData>
    <row r="1" spans="1:11" ht="51.75" customHeight="1" x14ac:dyDescent="0.25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ht="18" customHeight="1" x14ac:dyDescent="0.25">
      <c r="A2" s="76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11" ht="6" customHeight="1" x14ac:dyDescent="0.25">
      <c r="A3" s="1"/>
      <c r="B3" s="1"/>
      <c r="C3" s="2"/>
      <c r="D3" s="2"/>
      <c r="E3" s="3"/>
      <c r="F3" s="3"/>
      <c r="G3" s="4"/>
      <c r="H3" s="4"/>
      <c r="I3" s="5"/>
      <c r="J3" s="5"/>
      <c r="K3" s="5"/>
    </row>
    <row r="4" spans="1:11" x14ac:dyDescent="0.25">
      <c r="A4" s="77" t="s">
        <v>2</v>
      </c>
      <c r="B4" s="77"/>
      <c r="D4" s="78" t="s">
        <v>3</v>
      </c>
      <c r="E4" s="78"/>
      <c r="G4" s="79" t="s">
        <v>4</v>
      </c>
      <c r="H4" s="79"/>
      <c r="J4" s="80" t="s">
        <v>5</v>
      </c>
      <c r="K4" s="80"/>
    </row>
    <row r="5" spans="1:11" x14ac:dyDescent="0.25">
      <c r="A5" s="69">
        <f>E18</f>
        <v>0</v>
      </c>
      <c r="B5" s="69"/>
      <c r="D5" s="70">
        <f>K18</f>
        <v>0</v>
      </c>
      <c r="E5" s="70"/>
      <c r="G5" s="71">
        <f>A5-D5</f>
        <v>0</v>
      </c>
      <c r="H5" s="71"/>
      <c r="J5" s="72">
        <f>IF(A5=0,0,D5/A5)</f>
        <v>0</v>
      </c>
      <c r="K5" s="72"/>
    </row>
    <row r="6" spans="1:11" x14ac:dyDescent="0.25">
      <c r="A6" s="69"/>
      <c r="B6" s="69"/>
      <c r="D6" s="70"/>
      <c r="E6" s="70"/>
      <c r="G6" s="71"/>
      <c r="H6" s="71"/>
      <c r="J6" s="72"/>
      <c r="K6" s="72"/>
    </row>
    <row r="7" spans="1:11" x14ac:dyDescent="0.25">
      <c r="A7" s="69"/>
      <c r="B7" s="69"/>
      <c r="D7" s="70"/>
      <c r="E7" s="70"/>
      <c r="G7" s="71"/>
      <c r="H7" s="71"/>
      <c r="J7" s="72"/>
      <c r="K7" s="72"/>
    </row>
    <row r="8" spans="1:11" x14ac:dyDescent="0.25">
      <c r="A8" s="69"/>
      <c r="B8" s="69"/>
      <c r="D8" s="70"/>
      <c r="E8" s="70"/>
      <c r="G8" s="71"/>
      <c r="H8" s="71"/>
      <c r="J8" s="72"/>
      <c r="K8" s="72"/>
    </row>
    <row r="9" spans="1:11" ht="12" customHeight="1" x14ac:dyDescent="0.25"/>
    <row r="10" spans="1:11" ht="21.75" customHeight="1" x14ac:dyDescent="0.25">
      <c r="A10" s="73" t="s">
        <v>6</v>
      </c>
      <c r="B10" s="73"/>
      <c r="C10" s="73"/>
      <c r="D10" s="73"/>
      <c r="E10" s="73"/>
      <c r="G10" s="74" t="s">
        <v>7</v>
      </c>
      <c r="H10" s="74"/>
      <c r="I10" s="74"/>
      <c r="J10" s="74"/>
      <c r="K10" s="74"/>
    </row>
    <row r="11" spans="1:11" x14ac:dyDescent="0.25">
      <c r="A11" s="6" t="s">
        <v>8</v>
      </c>
      <c r="B11" s="6" t="s">
        <v>9</v>
      </c>
      <c r="C11" s="6" t="s">
        <v>10</v>
      </c>
      <c r="D11" s="6" t="s">
        <v>11</v>
      </c>
      <c r="E11" s="6" t="s">
        <v>12</v>
      </c>
      <c r="G11" s="7" t="s">
        <v>8</v>
      </c>
      <c r="H11" s="7" t="s">
        <v>9</v>
      </c>
      <c r="I11" s="7" t="s">
        <v>10</v>
      </c>
      <c r="J11" s="7" t="s">
        <v>11</v>
      </c>
      <c r="K11" s="7" t="s">
        <v>12</v>
      </c>
    </row>
    <row r="12" spans="1:11" x14ac:dyDescent="0.25">
      <c r="A12" s="8" t="s">
        <v>13</v>
      </c>
      <c r="B12" s="9">
        <f>Income!B4</f>
        <v>0</v>
      </c>
      <c r="C12" s="9">
        <f>Income!C4</f>
        <v>0</v>
      </c>
      <c r="D12" s="9">
        <f>Income!E4</f>
        <v>0</v>
      </c>
      <c r="E12" s="10">
        <f t="shared" ref="E12:E18" si="0">SUM(B12:D12)</f>
        <v>0</v>
      </c>
      <c r="G12" s="11" t="s">
        <v>14</v>
      </c>
      <c r="H12" s="12">
        <f>Expenses!B4</f>
        <v>0</v>
      </c>
      <c r="I12" s="12">
        <f>Expenses!C4</f>
        <v>0</v>
      </c>
      <c r="J12" s="12">
        <f>Expenses!D4</f>
        <v>0</v>
      </c>
      <c r="K12" s="13">
        <f t="shared" ref="K12:K18" si="1">SUM(H12:J12)</f>
        <v>0</v>
      </c>
    </row>
    <row r="13" spans="1:11" x14ac:dyDescent="0.25">
      <c r="A13" s="14" t="s">
        <v>15</v>
      </c>
      <c r="B13" s="15">
        <f>Income!B5</f>
        <v>0</v>
      </c>
      <c r="C13" s="15">
        <f>Income!C5</f>
        <v>0</v>
      </c>
      <c r="D13" s="15">
        <f>Income!E5</f>
        <v>0</v>
      </c>
      <c r="E13" s="10">
        <f t="shared" si="0"/>
        <v>0</v>
      </c>
      <c r="G13" s="16" t="s">
        <v>16</v>
      </c>
      <c r="H13" s="17">
        <f>Expenses!B5</f>
        <v>0</v>
      </c>
      <c r="I13" s="17">
        <f>Expenses!C5</f>
        <v>0</v>
      </c>
      <c r="J13" s="17">
        <f>Expenses!D5</f>
        <v>0</v>
      </c>
      <c r="K13" s="13">
        <f t="shared" si="1"/>
        <v>0</v>
      </c>
    </row>
    <row r="14" spans="1:11" x14ac:dyDescent="0.25">
      <c r="A14" s="8" t="s">
        <v>17</v>
      </c>
      <c r="B14" s="9">
        <f>Income!B6</f>
        <v>0</v>
      </c>
      <c r="C14" s="9">
        <f>Income!C6</f>
        <v>0</v>
      </c>
      <c r="D14" s="9">
        <f>Income!E6</f>
        <v>0</v>
      </c>
      <c r="E14" s="10">
        <f t="shared" si="0"/>
        <v>0</v>
      </c>
      <c r="G14" s="11" t="s">
        <v>18</v>
      </c>
      <c r="H14" s="12">
        <f>Expenses!B6</f>
        <v>0</v>
      </c>
      <c r="I14" s="12">
        <f>Expenses!C6</f>
        <v>0</v>
      </c>
      <c r="J14" s="12">
        <f>Expenses!D6</f>
        <v>0</v>
      </c>
      <c r="K14" s="13">
        <f t="shared" si="1"/>
        <v>0</v>
      </c>
    </row>
    <row r="15" spans="1:11" x14ac:dyDescent="0.25">
      <c r="A15" s="14" t="s">
        <v>19</v>
      </c>
      <c r="B15" s="15">
        <f>Income!B7</f>
        <v>0</v>
      </c>
      <c r="C15" s="15">
        <f>Income!C7</f>
        <v>0</v>
      </c>
      <c r="D15" s="15">
        <f>Income!E7</f>
        <v>0</v>
      </c>
      <c r="E15" s="10">
        <f t="shared" si="0"/>
        <v>0</v>
      </c>
      <c r="G15" s="16" t="s">
        <v>20</v>
      </c>
      <c r="H15" s="17">
        <f>Expenses!B7</f>
        <v>0</v>
      </c>
      <c r="I15" s="17">
        <f>Expenses!C7</f>
        <v>0</v>
      </c>
      <c r="J15" s="17">
        <f>Expenses!D7</f>
        <v>0</v>
      </c>
      <c r="K15" s="13">
        <f t="shared" si="1"/>
        <v>0</v>
      </c>
    </row>
    <row r="16" spans="1:11" x14ac:dyDescent="0.25">
      <c r="A16" s="8" t="s">
        <v>21</v>
      </c>
      <c r="B16" s="9">
        <f>Income!B8</f>
        <v>0</v>
      </c>
      <c r="C16" s="9">
        <f>Income!C8</f>
        <v>0</v>
      </c>
      <c r="D16" s="9">
        <f>Income!E8</f>
        <v>0</v>
      </c>
      <c r="E16" s="10">
        <f t="shared" si="0"/>
        <v>0</v>
      </c>
      <c r="G16" s="11" t="s">
        <v>22</v>
      </c>
      <c r="H16" s="12">
        <f>Expenses!B8</f>
        <v>0</v>
      </c>
      <c r="I16" s="12">
        <f>Expenses!C8</f>
        <v>0</v>
      </c>
      <c r="J16" s="12">
        <f>Expenses!D8</f>
        <v>0</v>
      </c>
      <c r="K16" s="13">
        <f t="shared" si="1"/>
        <v>0</v>
      </c>
    </row>
    <row r="17" spans="1:11" x14ac:dyDescent="0.25">
      <c r="A17" s="14" t="s">
        <v>23</v>
      </c>
      <c r="B17" s="15">
        <f>Income!B9</f>
        <v>0</v>
      </c>
      <c r="C17" s="15">
        <f>Income!C9</f>
        <v>0</v>
      </c>
      <c r="D17" s="15">
        <f>Income!E9</f>
        <v>0</v>
      </c>
      <c r="E17" s="10">
        <f t="shared" si="0"/>
        <v>0</v>
      </c>
      <c r="G17" s="16" t="s">
        <v>24</v>
      </c>
      <c r="H17" s="17">
        <f>Expenses!B9</f>
        <v>0</v>
      </c>
      <c r="I17" s="17">
        <f>Expenses!C9</f>
        <v>0</v>
      </c>
      <c r="J17" s="17">
        <f>Expenses!D9</f>
        <v>0</v>
      </c>
      <c r="K17" s="13">
        <f t="shared" si="1"/>
        <v>0</v>
      </c>
    </row>
    <row r="18" spans="1:11" x14ac:dyDescent="0.25">
      <c r="A18" s="18" t="s">
        <v>25</v>
      </c>
      <c r="B18" s="19">
        <f>SUM(B12:B17)</f>
        <v>0</v>
      </c>
      <c r="C18" s="19">
        <f>SUM(C12:C17)</f>
        <v>0</v>
      </c>
      <c r="D18" s="19">
        <f>SUM(D12:D17)</f>
        <v>0</v>
      </c>
      <c r="E18" s="20">
        <f t="shared" si="0"/>
        <v>0</v>
      </c>
      <c r="G18" s="21" t="s">
        <v>25</v>
      </c>
      <c r="H18" s="22">
        <f>SUM(H12:H17)</f>
        <v>0</v>
      </c>
      <c r="I18" s="22">
        <f>SUM(I12:I17)</f>
        <v>0</v>
      </c>
      <c r="J18" s="22">
        <f>SUM(J12:J17)</f>
        <v>0</v>
      </c>
      <c r="K18" s="23">
        <f t="shared" si="1"/>
        <v>0</v>
      </c>
    </row>
  </sheetData>
  <mergeCells count="12">
    <mergeCell ref="A1:K1"/>
    <mergeCell ref="A2:K2"/>
    <mergeCell ref="A4:B4"/>
    <mergeCell ref="D4:E4"/>
    <mergeCell ref="G4:H4"/>
    <mergeCell ref="J4:K4"/>
    <mergeCell ref="A5:B8"/>
    <mergeCell ref="D5:E8"/>
    <mergeCell ref="G5:H8"/>
    <mergeCell ref="J5:K8"/>
    <mergeCell ref="A10:E10"/>
    <mergeCell ref="G10:K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showGridLines="0" tabSelected="1" zoomScaleNormal="100" workbookViewId="0">
      <selection activeCell="G19" sqref="G19"/>
    </sheetView>
  </sheetViews>
  <sheetFormatPr defaultColWidth="8.7109375" defaultRowHeight="15" x14ac:dyDescent="0.25"/>
  <cols>
    <col min="1" max="1" width="24" customWidth="1"/>
    <col min="2" max="6" width="16" customWidth="1"/>
    <col min="7" max="7" width="34" customWidth="1"/>
  </cols>
  <sheetData>
    <row r="1" spans="1:7" ht="39.75" customHeight="1" x14ac:dyDescent="0.25">
      <c r="A1" s="81" t="s">
        <v>26</v>
      </c>
      <c r="B1" s="81"/>
      <c r="C1" s="81"/>
      <c r="D1" s="81"/>
      <c r="E1" s="81"/>
      <c r="F1" s="81"/>
      <c r="G1" s="81"/>
    </row>
    <row r="2" spans="1:7" ht="15.75" customHeight="1" x14ac:dyDescent="0.25">
      <c r="A2" s="82" t="s">
        <v>27</v>
      </c>
      <c r="B2" s="82"/>
      <c r="C2" s="82"/>
      <c r="D2" s="82"/>
      <c r="E2" s="82"/>
      <c r="F2" s="82"/>
      <c r="G2" s="82"/>
    </row>
    <row r="3" spans="1:7" ht="24" customHeight="1" x14ac:dyDescent="0.25">
      <c r="A3" s="24" t="s">
        <v>8</v>
      </c>
      <c r="B3" s="24" t="s">
        <v>28</v>
      </c>
      <c r="C3" s="24" t="s">
        <v>29</v>
      </c>
      <c r="D3" s="24" t="s">
        <v>30</v>
      </c>
      <c r="E3" s="24" t="s">
        <v>30</v>
      </c>
      <c r="F3" s="24" t="s">
        <v>31</v>
      </c>
      <c r="G3" s="24" t="s">
        <v>32</v>
      </c>
    </row>
    <row r="4" spans="1:7" ht="24.95" customHeight="1" x14ac:dyDescent="0.25">
      <c r="A4" s="99" t="s">
        <v>13</v>
      </c>
      <c r="B4" s="97">
        <v>0</v>
      </c>
      <c r="C4" s="97">
        <v>0</v>
      </c>
      <c r="D4" s="97"/>
      <c r="E4" s="97">
        <v>0</v>
      </c>
      <c r="F4" s="10">
        <f t="shared" ref="F4:F9" si="0">SUM(B4:E4)</f>
        <v>0</v>
      </c>
      <c r="G4" s="25" t="s">
        <v>33</v>
      </c>
    </row>
    <row r="5" spans="1:7" ht="24.95" customHeight="1" x14ac:dyDescent="0.25">
      <c r="A5" s="14" t="s">
        <v>15</v>
      </c>
      <c r="B5" s="97">
        <v>0</v>
      </c>
      <c r="C5" s="98">
        <v>0</v>
      </c>
      <c r="D5" s="98"/>
      <c r="E5" s="98">
        <v>0</v>
      </c>
      <c r="F5" s="10">
        <f t="shared" si="0"/>
        <v>0</v>
      </c>
      <c r="G5" s="26" t="s">
        <v>34</v>
      </c>
    </row>
    <row r="6" spans="1:7" ht="24.95" customHeight="1" x14ac:dyDescent="0.25">
      <c r="A6" s="14" t="s">
        <v>17</v>
      </c>
      <c r="B6" s="97">
        <v>0</v>
      </c>
      <c r="C6" s="98">
        <v>0</v>
      </c>
      <c r="D6" s="98"/>
      <c r="E6" s="98">
        <v>0</v>
      </c>
      <c r="F6" s="10">
        <f t="shared" si="0"/>
        <v>0</v>
      </c>
      <c r="G6" s="27" t="s">
        <v>35</v>
      </c>
    </row>
    <row r="7" spans="1:7" ht="24.95" customHeight="1" x14ac:dyDescent="0.25">
      <c r="A7" s="99" t="s">
        <v>19</v>
      </c>
      <c r="B7" s="97">
        <v>0</v>
      </c>
      <c r="C7" s="97">
        <v>0</v>
      </c>
      <c r="D7" s="97"/>
      <c r="E7" s="97">
        <v>0</v>
      </c>
      <c r="F7" s="10">
        <f t="shared" si="0"/>
        <v>0</v>
      </c>
      <c r="G7" s="29" t="s">
        <v>36</v>
      </c>
    </row>
    <row r="8" spans="1:7" ht="24.95" customHeight="1" x14ac:dyDescent="0.25">
      <c r="A8" s="100" t="s">
        <v>21</v>
      </c>
      <c r="B8" s="97">
        <v>0</v>
      </c>
      <c r="C8" s="92">
        <v>0</v>
      </c>
      <c r="D8" s="92"/>
      <c r="E8" s="92">
        <v>0</v>
      </c>
      <c r="F8" s="10">
        <f t="shared" si="0"/>
        <v>0</v>
      </c>
      <c r="G8" s="30" t="s">
        <v>37</v>
      </c>
    </row>
    <row r="9" spans="1:7" ht="24.95" customHeight="1" x14ac:dyDescent="0.25">
      <c r="A9" s="101" t="s">
        <v>23</v>
      </c>
      <c r="B9" s="97">
        <v>0</v>
      </c>
      <c r="C9" s="93">
        <v>0</v>
      </c>
      <c r="D9" s="93"/>
      <c r="E9" s="93">
        <v>0</v>
      </c>
      <c r="F9" s="10">
        <f t="shared" si="0"/>
        <v>0</v>
      </c>
      <c r="G9" s="31" t="s">
        <v>38</v>
      </c>
    </row>
    <row r="10" spans="1:7" ht="24.95" customHeight="1" x14ac:dyDescent="0.25">
      <c r="A10" s="32" t="s">
        <v>39</v>
      </c>
      <c r="B10" s="33">
        <f>SUM(B4:B9)</f>
        <v>0</v>
      </c>
      <c r="C10" s="33">
        <f>SUM(C4:C9)</f>
        <v>0</v>
      </c>
      <c r="D10" s="33"/>
      <c r="E10" s="33">
        <f>SUM(E4:E9)</f>
        <v>0</v>
      </c>
      <c r="F10" s="33">
        <f>SUM(F4:F9)</f>
        <v>0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"/>
  <sheetViews>
    <sheetView showGridLines="0" zoomScaleNormal="100" workbookViewId="0">
      <selection activeCell="E10" sqref="E10"/>
    </sheetView>
  </sheetViews>
  <sheetFormatPr defaultColWidth="8.7109375" defaultRowHeight="15" x14ac:dyDescent="0.25"/>
  <cols>
    <col min="1" max="1" width="24" customWidth="1"/>
    <col min="2" max="5" width="16" customWidth="1"/>
    <col min="6" max="6" width="34" customWidth="1"/>
  </cols>
  <sheetData>
    <row r="1" spans="1:11" ht="39.75" customHeight="1" x14ac:dyDescent="0.25">
      <c r="A1" s="83" t="s">
        <v>40</v>
      </c>
      <c r="B1" s="83"/>
      <c r="C1" s="83"/>
      <c r="D1" s="83"/>
      <c r="E1" s="83"/>
      <c r="F1" s="83"/>
    </row>
    <row r="2" spans="1:11" ht="15.75" customHeight="1" x14ac:dyDescent="0.25">
      <c r="A2" s="84" t="s">
        <v>41</v>
      </c>
      <c r="B2" s="84"/>
      <c r="C2" s="84"/>
      <c r="D2" s="84"/>
      <c r="E2" s="84"/>
      <c r="F2" s="84"/>
    </row>
    <row r="3" spans="1:11" ht="24" customHeight="1" x14ac:dyDescent="0.25">
      <c r="A3" s="34" t="s">
        <v>8</v>
      </c>
      <c r="B3" s="34" t="s">
        <v>28</v>
      </c>
      <c r="C3" s="34" t="s">
        <v>29</v>
      </c>
      <c r="D3" s="34" t="s">
        <v>30</v>
      </c>
      <c r="E3" s="34" t="s">
        <v>31</v>
      </c>
      <c r="F3" s="34" t="s">
        <v>32</v>
      </c>
      <c r="I3" s="85" t="s">
        <v>66</v>
      </c>
      <c r="J3" s="86"/>
      <c r="K3" s="86"/>
    </row>
    <row r="4" spans="1:11" ht="24.95" customHeight="1" x14ac:dyDescent="0.25">
      <c r="A4" s="94" t="s">
        <v>14</v>
      </c>
      <c r="B4" s="90">
        <v>0</v>
      </c>
      <c r="C4" s="90">
        <v>0</v>
      </c>
      <c r="D4" s="90">
        <v>0</v>
      </c>
      <c r="E4" s="13">
        <v>0</v>
      </c>
      <c r="F4" s="35" t="s">
        <v>42</v>
      </c>
      <c r="I4" s="85"/>
      <c r="J4" s="86"/>
      <c r="K4" s="86"/>
    </row>
    <row r="5" spans="1:11" ht="24.95" customHeight="1" x14ac:dyDescent="0.25">
      <c r="A5" s="16" t="s">
        <v>16</v>
      </c>
      <c r="B5" s="90">
        <v>0</v>
      </c>
      <c r="C5" s="91">
        <v>0</v>
      </c>
      <c r="D5" s="91">
        <v>0</v>
      </c>
      <c r="E5" s="13">
        <v>0</v>
      </c>
      <c r="F5" s="36" t="s">
        <v>43</v>
      </c>
      <c r="I5" s="85"/>
      <c r="J5" s="86"/>
      <c r="K5" s="86"/>
    </row>
    <row r="6" spans="1:11" ht="24.95" customHeight="1" x14ac:dyDescent="0.25">
      <c r="A6" s="94" t="s">
        <v>18</v>
      </c>
      <c r="B6" s="90">
        <v>0</v>
      </c>
      <c r="C6" s="90">
        <v>0</v>
      </c>
      <c r="D6" s="90">
        <v>0</v>
      </c>
      <c r="E6" s="13">
        <v>0</v>
      </c>
      <c r="F6" s="37" t="s">
        <v>44</v>
      </c>
      <c r="I6" s="85"/>
      <c r="J6" s="86"/>
      <c r="K6" s="86"/>
    </row>
    <row r="7" spans="1:11" ht="24.95" customHeight="1" x14ac:dyDescent="0.25">
      <c r="A7" s="95" t="s">
        <v>20</v>
      </c>
      <c r="B7" s="90">
        <v>0</v>
      </c>
      <c r="C7" s="92">
        <v>0</v>
      </c>
      <c r="D7" s="92">
        <v>0</v>
      </c>
      <c r="E7" s="13">
        <v>0</v>
      </c>
      <c r="F7" s="38" t="s">
        <v>45</v>
      </c>
      <c r="I7" s="85"/>
      <c r="J7" s="86"/>
      <c r="K7" s="86"/>
    </row>
    <row r="8" spans="1:11" ht="24.95" customHeight="1" x14ac:dyDescent="0.25">
      <c r="A8" s="95" t="s">
        <v>22</v>
      </c>
      <c r="B8" s="90">
        <v>0</v>
      </c>
      <c r="C8" s="92">
        <v>0</v>
      </c>
      <c r="D8" s="92">
        <v>0</v>
      </c>
      <c r="E8" s="13">
        <v>0</v>
      </c>
      <c r="F8" s="30" t="s">
        <v>46</v>
      </c>
      <c r="I8" s="85"/>
      <c r="J8" s="86"/>
      <c r="K8" s="86"/>
    </row>
    <row r="9" spans="1:11" ht="24.95" customHeight="1" x14ac:dyDescent="0.25">
      <c r="A9" s="96" t="s">
        <v>24</v>
      </c>
      <c r="B9" s="90">
        <v>0</v>
      </c>
      <c r="C9" s="93">
        <v>0</v>
      </c>
      <c r="D9" s="93">
        <v>0</v>
      </c>
      <c r="E9" s="13">
        <v>0</v>
      </c>
      <c r="F9" s="31" t="s">
        <v>47</v>
      </c>
    </row>
    <row r="10" spans="1:11" ht="24.95" customHeight="1" x14ac:dyDescent="0.25">
      <c r="A10" s="39" t="s">
        <v>48</v>
      </c>
      <c r="B10" s="40">
        <f>SUM(B4:B9)</f>
        <v>0</v>
      </c>
      <c r="C10" s="40">
        <f>SUM(C4:C9)</f>
        <v>0</v>
      </c>
      <c r="D10" s="40">
        <f>SUM(D4:D9)</f>
        <v>0</v>
      </c>
      <c r="E10" s="41">
        <f>SUM(E4:E9)</f>
        <v>0</v>
      </c>
    </row>
  </sheetData>
  <mergeCells count="3">
    <mergeCell ref="A1:F1"/>
    <mergeCell ref="A2:F2"/>
    <mergeCell ref="I3:K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6"/>
  <sheetViews>
    <sheetView showGridLines="0" zoomScaleNormal="100" workbookViewId="0">
      <selection activeCell="N9" sqref="N9"/>
    </sheetView>
  </sheetViews>
  <sheetFormatPr defaultColWidth="8.7109375" defaultRowHeight="15" x14ac:dyDescent="0.25"/>
  <cols>
    <col min="1" max="1" width="13" customWidth="1"/>
    <col min="2" max="2" width="10" customWidth="1"/>
    <col min="3" max="3" width="20" customWidth="1"/>
    <col min="4" max="4" width="12" customWidth="1"/>
    <col min="5" max="5" width="36" customWidth="1"/>
    <col min="6" max="6" width="16" customWidth="1"/>
    <col min="7" max="7" width="14" customWidth="1"/>
    <col min="8" max="8" width="12" customWidth="1"/>
  </cols>
  <sheetData>
    <row r="1" spans="1:8" ht="39.75" customHeight="1" x14ac:dyDescent="0.25">
      <c r="A1" s="87" t="s">
        <v>49</v>
      </c>
      <c r="B1" s="87"/>
      <c r="C1" s="87"/>
      <c r="D1" s="87"/>
      <c r="E1" s="87"/>
      <c r="F1" s="87"/>
      <c r="G1" s="87"/>
      <c r="H1" s="87"/>
    </row>
    <row r="2" spans="1:8" x14ac:dyDescent="0.25">
      <c r="A2" s="42" t="s">
        <v>50</v>
      </c>
      <c r="B2" s="42" t="s">
        <v>51</v>
      </c>
      <c r="C2" s="42" t="s">
        <v>8</v>
      </c>
      <c r="D2" s="42" t="s">
        <v>52</v>
      </c>
      <c r="E2" s="42" t="s">
        <v>53</v>
      </c>
      <c r="F2" s="42" t="s">
        <v>54</v>
      </c>
      <c r="G2" s="42" t="s">
        <v>55</v>
      </c>
      <c r="H2" s="42" t="s">
        <v>56</v>
      </c>
    </row>
    <row r="3" spans="1:8" x14ac:dyDescent="0.25">
      <c r="A3" s="64">
        <v>46094</v>
      </c>
      <c r="B3" s="48" t="s">
        <v>57</v>
      </c>
      <c r="C3" s="16" t="s">
        <v>67</v>
      </c>
      <c r="D3" s="48" t="s">
        <v>9</v>
      </c>
      <c r="E3" s="16" t="s">
        <v>68</v>
      </c>
      <c r="F3" s="49">
        <v>14</v>
      </c>
      <c r="G3" s="48" t="s">
        <v>70</v>
      </c>
      <c r="H3" s="48" t="s">
        <v>58</v>
      </c>
    </row>
    <row r="4" spans="1:8" x14ac:dyDescent="0.25">
      <c r="A4" s="64">
        <v>46097</v>
      </c>
      <c r="B4" s="48" t="s">
        <v>57</v>
      </c>
      <c r="C4" s="16" t="s">
        <v>69</v>
      </c>
      <c r="D4" s="48"/>
      <c r="E4" s="16" t="s">
        <v>69</v>
      </c>
      <c r="F4" s="49">
        <v>70</v>
      </c>
      <c r="G4" s="48" t="s">
        <v>71</v>
      </c>
      <c r="H4" s="48" t="s">
        <v>58</v>
      </c>
    </row>
    <row r="5" spans="1:8" x14ac:dyDescent="0.25">
      <c r="A5" s="50"/>
      <c r="B5" s="50"/>
      <c r="C5" s="50"/>
      <c r="D5" s="50"/>
      <c r="E5" s="50"/>
      <c r="F5" s="51"/>
      <c r="G5" s="67"/>
      <c r="H5" s="50"/>
    </row>
    <row r="6" spans="1:8" ht="18.75" customHeight="1" x14ac:dyDescent="0.25">
      <c r="A6" s="52"/>
      <c r="B6" s="52"/>
      <c r="C6" s="52"/>
      <c r="D6" s="52"/>
      <c r="E6" s="52"/>
      <c r="F6" s="53"/>
      <c r="G6" s="68"/>
      <c r="H6" s="52"/>
    </row>
    <row r="7" spans="1:8" x14ac:dyDescent="0.25">
      <c r="A7" s="50"/>
      <c r="B7" s="50"/>
      <c r="C7" s="50"/>
      <c r="D7" s="50"/>
      <c r="E7" s="50"/>
      <c r="F7" s="51"/>
      <c r="G7" s="67"/>
      <c r="H7" s="50"/>
    </row>
    <row r="8" spans="1:8" x14ac:dyDescent="0.25">
      <c r="A8" s="52"/>
      <c r="B8" s="52"/>
      <c r="C8" s="52"/>
      <c r="D8" s="52"/>
      <c r="E8" s="52"/>
      <c r="F8" s="53"/>
      <c r="G8" s="68"/>
      <c r="H8" s="52"/>
    </row>
    <row r="9" spans="1:8" x14ac:dyDescent="0.25">
      <c r="A9" s="52"/>
      <c r="B9" s="52"/>
      <c r="C9" s="52"/>
      <c r="D9" s="52"/>
      <c r="E9" s="52"/>
      <c r="F9" s="53"/>
      <c r="G9" s="68"/>
      <c r="H9" s="52"/>
    </row>
    <row r="10" spans="1:8" x14ac:dyDescent="0.25">
      <c r="A10" s="52"/>
      <c r="B10" s="52"/>
      <c r="C10" s="52"/>
      <c r="D10" s="52"/>
      <c r="E10" s="52"/>
      <c r="F10" s="53"/>
      <c r="G10" s="68"/>
      <c r="H10" s="52"/>
    </row>
    <row r="11" spans="1:8" x14ac:dyDescent="0.25">
      <c r="A11" s="52"/>
      <c r="B11" s="52"/>
      <c r="C11" s="52"/>
      <c r="D11" s="52"/>
      <c r="E11" s="52"/>
      <c r="F11" s="53"/>
      <c r="G11" s="68"/>
      <c r="H11" s="52"/>
    </row>
    <row r="12" spans="1:8" x14ac:dyDescent="0.25">
      <c r="A12" s="52"/>
      <c r="B12" s="52"/>
      <c r="C12" s="52"/>
      <c r="D12" s="52"/>
      <c r="E12" s="52"/>
      <c r="F12" s="53"/>
      <c r="G12" s="68"/>
      <c r="H12" s="52"/>
    </row>
    <row r="13" spans="1:8" x14ac:dyDescent="0.25">
      <c r="A13" s="52"/>
      <c r="B13" s="52"/>
      <c r="C13" s="52"/>
      <c r="D13" s="52"/>
      <c r="E13" s="52"/>
      <c r="F13" s="53"/>
      <c r="G13" s="68"/>
      <c r="H13" s="52"/>
    </row>
    <row r="14" spans="1:8" x14ac:dyDescent="0.25">
      <c r="A14" s="52"/>
      <c r="B14" s="52"/>
      <c r="C14" s="52"/>
      <c r="D14" s="52"/>
      <c r="E14" s="52"/>
      <c r="F14" s="53"/>
      <c r="G14" s="68"/>
      <c r="H14" s="52"/>
    </row>
    <row r="15" spans="1:8" x14ac:dyDescent="0.25">
      <c r="A15" s="50"/>
      <c r="B15" s="50"/>
      <c r="C15" s="50"/>
      <c r="D15" s="50"/>
      <c r="E15" s="50"/>
      <c r="F15" s="51"/>
      <c r="G15" s="67"/>
      <c r="H15" s="50"/>
    </row>
    <row r="16" spans="1:8" x14ac:dyDescent="0.25">
      <c r="A16" s="52"/>
      <c r="B16" s="52"/>
      <c r="C16" s="52"/>
      <c r="D16" s="52"/>
      <c r="E16" s="52"/>
      <c r="F16" s="53"/>
      <c r="G16" s="68"/>
      <c r="H16" s="52"/>
    </row>
    <row r="17" spans="1:8" x14ac:dyDescent="0.25">
      <c r="A17" s="50"/>
      <c r="B17" s="50"/>
      <c r="C17" s="50"/>
      <c r="D17" s="50"/>
      <c r="E17" s="50"/>
      <c r="F17" s="51"/>
      <c r="G17" s="67"/>
      <c r="H17" s="50"/>
    </row>
    <row r="18" spans="1:8" x14ac:dyDescent="0.25">
      <c r="A18" s="52"/>
      <c r="B18" s="52"/>
      <c r="C18" s="52"/>
      <c r="D18" s="52"/>
      <c r="E18" s="52"/>
      <c r="F18" s="53"/>
      <c r="G18" s="68"/>
      <c r="H18" s="52"/>
    </row>
    <row r="19" spans="1:8" x14ac:dyDescent="0.25">
      <c r="A19" s="50"/>
      <c r="B19" s="50"/>
      <c r="C19" s="50"/>
      <c r="D19" s="50"/>
      <c r="E19" s="50"/>
      <c r="F19" s="51"/>
      <c r="G19" s="67"/>
      <c r="H19" s="50"/>
    </row>
    <row r="20" spans="1:8" x14ac:dyDescent="0.25">
      <c r="A20" s="52"/>
      <c r="B20" s="52"/>
      <c r="C20" s="52"/>
      <c r="D20" s="52"/>
      <c r="E20" s="52"/>
      <c r="F20" s="53"/>
      <c r="G20" s="68"/>
      <c r="H20" s="52"/>
    </row>
    <row r="21" spans="1:8" x14ac:dyDescent="0.25">
      <c r="A21" s="50"/>
      <c r="B21" s="50"/>
      <c r="C21" s="50"/>
      <c r="D21" s="50"/>
      <c r="E21" s="50"/>
      <c r="F21" s="51"/>
      <c r="G21" s="67"/>
      <c r="H21" s="50"/>
    </row>
    <row r="22" spans="1:8" x14ac:dyDescent="0.25">
      <c r="A22" s="52"/>
      <c r="B22" s="52"/>
      <c r="C22" s="52"/>
      <c r="D22" s="52"/>
      <c r="E22" s="52"/>
      <c r="F22" s="53"/>
      <c r="G22" s="68"/>
      <c r="H22" s="52"/>
    </row>
    <row r="23" spans="1:8" x14ac:dyDescent="0.25">
      <c r="A23" s="50"/>
      <c r="B23" s="50"/>
      <c r="C23" s="50"/>
      <c r="D23" s="50"/>
      <c r="E23" s="50"/>
      <c r="F23" s="51"/>
      <c r="G23" s="67"/>
      <c r="H23" s="50"/>
    </row>
    <row r="24" spans="1:8" x14ac:dyDescent="0.25">
      <c r="A24" s="52"/>
      <c r="B24" s="52"/>
      <c r="C24" s="52"/>
      <c r="D24" s="52"/>
      <c r="E24" s="52"/>
      <c r="F24" s="53"/>
      <c r="G24" s="68"/>
      <c r="H24" s="52"/>
    </row>
    <row r="25" spans="1:8" x14ac:dyDescent="0.25">
      <c r="A25" s="50"/>
      <c r="B25" s="50"/>
      <c r="C25" s="50"/>
      <c r="D25" s="50"/>
      <c r="E25" s="50"/>
      <c r="F25" s="51"/>
      <c r="G25" s="67"/>
      <c r="H25" s="50"/>
    </row>
    <row r="26" spans="1:8" x14ac:dyDescent="0.25">
      <c r="A26" s="52"/>
      <c r="B26" s="52"/>
      <c r="C26" s="52"/>
      <c r="D26" s="52"/>
      <c r="E26" s="52"/>
      <c r="F26" s="53"/>
      <c r="G26" s="68"/>
      <c r="H26" s="52"/>
    </row>
    <row r="27" spans="1:8" x14ac:dyDescent="0.25">
      <c r="A27" s="50"/>
      <c r="B27" s="50"/>
      <c r="C27" s="50"/>
      <c r="D27" s="50"/>
      <c r="E27" s="50"/>
      <c r="F27" s="51"/>
      <c r="G27" s="67"/>
      <c r="H27" s="50"/>
    </row>
    <row r="28" spans="1:8" x14ac:dyDescent="0.25">
      <c r="A28" s="52"/>
      <c r="B28" s="52"/>
      <c r="C28" s="52"/>
      <c r="D28" s="52"/>
      <c r="E28" s="52"/>
      <c r="F28" s="53"/>
      <c r="G28" s="68"/>
      <c r="H28" s="52"/>
    </row>
    <row r="29" spans="1:8" x14ac:dyDescent="0.25">
      <c r="A29" s="50"/>
      <c r="B29" s="50"/>
      <c r="C29" s="50"/>
      <c r="D29" s="50"/>
      <c r="E29" s="50"/>
      <c r="F29" s="51"/>
      <c r="G29" s="67"/>
      <c r="H29" s="50"/>
    </row>
    <row r="30" spans="1:8" x14ac:dyDescent="0.25">
      <c r="A30" s="52"/>
      <c r="B30" s="52"/>
      <c r="C30" s="52"/>
      <c r="D30" s="52"/>
      <c r="E30" s="52"/>
      <c r="F30" s="53"/>
      <c r="G30" s="68"/>
      <c r="H30" s="52"/>
    </row>
    <row r="31" spans="1:8" ht="17.25" customHeight="1" x14ac:dyDescent="0.25">
      <c r="A31" s="50"/>
      <c r="B31" s="50"/>
      <c r="C31" s="50"/>
      <c r="D31" s="50"/>
      <c r="E31" s="50"/>
      <c r="F31" s="51"/>
      <c r="G31" s="67"/>
      <c r="H31" s="50"/>
    </row>
    <row r="32" spans="1:8" x14ac:dyDescent="0.25">
      <c r="A32" s="48"/>
      <c r="B32" s="48"/>
      <c r="C32" s="16"/>
      <c r="D32" s="48"/>
      <c r="E32" s="16"/>
      <c r="F32" s="49"/>
      <c r="G32" s="48"/>
      <c r="H32" s="48"/>
    </row>
    <row r="33" spans="1:8" x14ac:dyDescent="0.25">
      <c r="A33" s="43"/>
      <c r="B33" s="43"/>
      <c r="C33" s="28"/>
      <c r="D33" s="43"/>
      <c r="E33" s="28"/>
      <c r="F33" s="44"/>
      <c r="G33" s="43"/>
      <c r="H33" s="43"/>
    </row>
    <row r="34" spans="1:8" x14ac:dyDescent="0.25">
      <c r="A34" s="45"/>
      <c r="B34" s="45"/>
      <c r="C34" s="14"/>
      <c r="D34" s="45"/>
      <c r="E34" s="14"/>
      <c r="F34" s="46"/>
      <c r="G34" s="45"/>
      <c r="H34" s="45"/>
    </row>
    <row r="35" spans="1:8" ht="15.75" thickBot="1" x14ac:dyDescent="0.3">
      <c r="A35" s="65"/>
      <c r="B35" s="65"/>
      <c r="C35" s="65"/>
      <c r="D35" s="65"/>
      <c r="E35" s="65"/>
      <c r="F35" s="66">
        <f>SUM(F3:F34)</f>
        <v>84</v>
      </c>
      <c r="G35" s="65"/>
      <c r="H35" s="65"/>
    </row>
    <row r="36" spans="1:8" ht="15.75" thickTop="1" x14ac:dyDescent="0.25"/>
  </sheetData>
  <mergeCells count="1">
    <mergeCell ref="A1:H1"/>
  </mergeCells>
  <dataValidations count="2">
    <dataValidation type="list" allowBlank="1" showInputMessage="1" showErrorMessage="1" sqref="B3:B4" xr:uid="{413A12A2-DE91-41BD-BA6A-8606CF845963}">
      <formula1>"Income, Expense"</formula1>
    </dataValidation>
    <dataValidation type="list" allowBlank="1" showInputMessage="1" showErrorMessage="1" sqref="H3" xr:uid="{743C9638-E5EE-49E2-B6ED-5A87101EE327}">
      <formula1>"Paid,Unpaid"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showGridLines="0" zoomScaleNormal="100" workbookViewId="0">
      <selection activeCell="L7" sqref="L7"/>
    </sheetView>
  </sheetViews>
  <sheetFormatPr defaultColWidth="8.7109375" defaultRowHeight="15" x14ac:dyDescent="0.25"/>
  <cols>
    <col min="1" max="1" width="22" customWidth="1"/>
    <col min="2" max="5" width="16" customWidth="1"/>
  </cols>
  <sheetData>
    <row r="1" spans="1:5" ht="39.75" customHeight="1" x14ac:dyDescent="0.25">
      <c r="A1" s="88" t="s">
        <v>59</v>
      </c>
      <c r="B1" s="88"/>
      <c r="C1" s="88"/>
      <c r="D1" s="88"/>
      <c r="E1" s="88"/>
    </row>
    <row r="2" spans="1:5" x14ac:dyDescent="0.25">
      <c r="A2" s="89" t="s">
        <v>60</v>
      </c>
      <c r="B2" s="89"/>
      <c r="C2" s="89"/>
      <c r="D2" s="89"/>
      <c r="E2" s="89"/>
    </row>
    <row r="3" spans="1:5" ht="24" customHeight="1" x14ac:dyDescent="0.25">
      <c r="A3" s="54" t="s">
        <v>61</v>
      </c>
      <c r="B3" s="54" t="s">
        <v>9</v>
      </c>
      <c r="C3" s="54" t="s">
        <v>10</v>
      </c>
      <c r="D3" s="54" t="s">
        <v>11</v>
      </c>
      <c r="E3" s="54" t="s">
        <v>25</v>
      </c>
    </row>
    <row r="4" spans="1:5" x14ac:dyDescent="0.25">
      <c r="A4" s="55" t="s">
        <v>62</v>
      </c>
      <c r="B4" s="56">
        <f>Income!B10</f>
        <v>0</v>
      </c>
      <c r="C4" s="56">
        <f>Income!C10</f>
        <v>0</v>
      </c>
      <c r="D4" s="56">
        <f>Income!E10</f>
        <v>0</v>
      </c>
      <c r="E4" s="20">
        <f>SUM(B4:D4)</f>
        <v>0</v>
      </c>
    </row>
    <row r="5" spans="1:5" x14ac:dyDescent="0.25">
      <c r="A5" s="57" t="s">
        <v>63</v>
      </c>
      <c r="B5" s="47">
        <f>Expenses!B10</f>
        <v>0</v>
      </c>
      <c r="C5" s="47">
        <f>Expenses!C10</f>
        <v>0</v>
      </c>
      <c r="D5" s="47">
        <f>Expenses!D10</f>
        <v>0</v>
      </c>
      <c r="E5" s="23">
        <f>SUM(B5:D5)</f>
        <v>0</v>
      </c>
    </row>
    <row r="6" spans="1:5" x14ac:dyDescent="0.25">
      <c r="A6" s="58" t="s">
        <v>64</v>
      </c>
      <c r="B6" s="59">
        <f>B4-B5</f>
        <v>0</v>
      </c>
      <c r="C6" s="59">
        <f>C4-C5</f>
        <v>0</v>
      </c>
      <c r="D6" s="59">
        <f>D4-D5</f>
        <v>0</v>
      </c>
      <c r="E6" s="60">
        <f>SUM(B6:D6)</f>
        <v>0</v>
      </c>
    </row>
    <row r="7" spans="1:5" x14ac:dyDescent="0.25">
      <c r="A7" s="61" t="s">
        <v>65</v>
      </c>
      <c r="B7" s="62">
        <f>IF(B4=0,0,B6/B4)</f>
        <v>0</v>
      </c>
      <c r="C7" s="62">
        <f>IF(C4=0,0,C6/C4)</f>
        <v>0</v>
      </c>
      <c r="D7" s="62">
        <f>IF(D4=0,0,D6/D4)</f>
        <v>0</v>
      </c>
      <c r="E7" s="63">
        <f>IF(E4=0,0,E6/E4)</f>
        <v>0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Income</vt:lpstr>
      <vt:lpstr>Expenses</vt:lpstr>
      <vt:lpstr>Transactions</vt:lpstr>
      <vt:lpstr>P&amp;L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Natasya Khoo</cp:lastModifiedBy>
  <cp:revision>0</cp:revision>
  <dcterms:created xsi:type="dcterms:W3CDTF">2026-03-18T06:33:35Z</dcterms:created>
  <dcterms:modified xsi:type="dcterms:W3CDTF">2026-03-18T07:49:11Z</dcterms:modified>
  <dc:language>en-US</dc:language>
</cp:coreProperties>
</file>